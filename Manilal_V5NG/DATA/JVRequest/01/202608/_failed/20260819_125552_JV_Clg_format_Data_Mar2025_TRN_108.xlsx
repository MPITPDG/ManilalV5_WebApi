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DGM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E50" i="1"/>
  <c r="D50" i="1"/>
  <c r="F48" i="1"/>
  <c r="N48" i="1" s="1"/>
  <c r="F47" i="1"/>
  <c r="N47" i="1" s="1"/>
  <c r="F46" i="1"/>
  <c r="N46" i="1" s="1"/>
  <c r="F45" i="1"/>
  <c r="N45" i="1" s="1"/>
  <c r="F44" i="1"/>
  <c r="N44" i="1" s="1"/>
  <c r="F43" i="1"/>
  <c r="N43" i="1" s="1"/>
  <c r="F42" i="1"/>
  <c r="N42" i="1" s="1"/>
  <c r="F41" i="1"/>
  <c r="N41" i="1" s="1"/>
  <c r="F40" i="1"/>
  <c r="N40" i="1" s="1"/>
  <c r="F39" i="1"/>
  <c r="N39" i="1" s="1"/>
  <c r="F38" i="1"/>
  <c r="N38" i="1" s="1"/>
  <c r="F37" i="1"/>
  <c r="N37" i="1" s="1"/>
  <c r="F36" i="1"/>
  <c r="N36" i="1" s="1"/>
  <c r="F35" i="1"/>
  <c r="N35" i="1" s="1"/>
  <c r="F34" i="1"/>
  <c r="N34" i="1" s="1"/>
  <c r="F33" i="1"/>
  <c r="N33" i="1" s="1"/>
  <c r="F32" i="1"/>
  <c r="N32" i="1" s="1"/>
  <c r="F31" i="1"/>
  <c r="N31" i="1" s="1"/>
  <c r="F30" i="1"/>
  <c r="N30" i="1" s="1"/>
  <c r="F29" i="1"/>
  <c r="N29" i="1" s="1"/>
  <c r="F28" i="1"/>
  <c r="N28" i="1" s="1"/>
  <c r="F27" i="1"/>
  <c r="N27" i="1" s="1"/>
  <c r="F26" i="1"/>
  <c r="N26" i="1" s="1"/>
  <c r="F25" i="1"/>
  <c r="N25" i="1" s="1"/>
  <c r="F24" i="1"/>
  <c r="N24" i="1" s="1"/>
  <c r="F23" i="1"/>
  <c r="N23" i="1" s="1"/>
  <c r="F22" i="1"/>
  <c r="N22" i="1" s="1"/>
  <c r="F21" i="1"/>
  <c r="N21" i="1" s="1"/>
  <c r="F20" i="1"/>
  <c r="N20" i="1" s="1"/>
  <c r="F19" i="1"/>
  <c r="N19" i="1" s="1"/>
  <c r="F18" i="1"/>
  <c r="N18" i="1" s="1"/>
  <c r="F17" i="1"/>
  <c r="N17" i="1" s="1"/>
  <c r="F16" i="1"/>
  <c r="N16" i="1" s="1"/>
  <c r="F15" i="1"/>
  <c r="N15" i="1" s="1"/>
  <c r="F14" i="1"/>
  <c r="N14" i="1" s="1"/>
  <c r="F13" i="1"/>
  <c r="N13" i="1" s="1"/>
  <c r="F12" i="1"/>
  <c r="N12" i="1" s="1"/>
  <c r="F11" i="1"/>
  <c r="N11" i="1" s="1"/>
  <c r="F10" i="1"/>
  <c r="N10" i="1" s="1"/>
  <c r="F9" i="1"/>
  <c r="N9" i="1" s="1"/>
  <c r="F8" i="1"/>
  <c r="N8" i="1" s="1"/>
  <c r="F7" i="1"/>
  <c r="N7" i="1" s="1"/>
  <c r="F6" i="1"/>
  <c r="N6" i="1" s="1"/>
  <c r="F5" i="1"/>
  <c r="N5" i="1" s="1"/>
  <c r="F4" i="1"/>
  <c r="N4" i="1" s="1"/>
  <c r="F3" i="1"/>
  <c r="N3" i="1" s="1"/>
  <c r="F2" i="1"/>
  <c r="E51" i="1" l="1"/>
</calcChain>
</file>

<file path=xl/sharedStrings.xml><?xml version="1.0" encoding="utf-8"?>
<sst xmlns="http://schemas.openxmlformats.org/spreadsheetml/2006/main" count="156" uniqueCount="110">
  <si>
    <t xml:space="preserve">ACCOUNT CODE </t>
  </si>
  <si>
    <t xml:space="preserve">Particulars </t>
  </si>
  <si>
    <t>Debit Amt</t>
  </si>
  <si>
    <t>Credit Amt</t>
  </si>
  <si>
    <t>jv_trn</t>
  </si>
  <si>
    <t>DB Query</t>
  </si>
  <si>
    <t>G101253</t>
  </si>
  <si>
    <t xml:space="preserve">INVOICE ROUNDED OFF </t>
  </si>
  <si>
    <t>G100920</t>
  </si>
  <si>
    <t xml:space="preserve">Documentation Charges - Income </t>
  </si>
  <si>
    <t>G101606</t>
  </si>
  <si>
    <t xml:space="preserve">Labour Charges - Income </t>
  </si>
  <si>
    <t>G101607</t>
  </si>
  <si>
    <t xml:space="preserve">Misc Recoverable - Income </t>
  </si>
  <si>
    <t>G101608</t>
  </si>
  <si>
    <t xml:space="preserve">ORIGIN THC - Income </t>
  </si>
  <si>
    <t>G101610</t>
  </si>
  <si>
    <t xml:space="preserve">Ocean Freight - Income </t>
  </si>
  <si>
    <t>G101611</t>
  </si>
  <si>
    <t xml:space="preserve">Survey Fee - Income </t>
  </si>
  <si>
    <t>G101612</t>
  </si>
  <si>
    <t xml:space="preserve">Transportation Chgs-Income (Taxable) </t>
  </si>
  <si>
    <t>G101639</t>
  </si>
  <si>
    <t xml:space="preserve">Share of Profit - Income </t>
  </si>
  <si>
    <t>G100243</t>
  </si>
  <si>
    <t xml:space="preserve">AGENCY CHARGES </t>
  </si>
  <si>
    <t>G101604</t>
  </si>
  <si>
    <t xml:space="preserve">Handling Charges - Income </t>
  </si>
  <si>
    <t>G100908</t>
  </si>
  <si>
    <t xml:space="preserve">Courier Charges </t>
  </si>
  <si>
    <t>G101896</t>
  </si>
  <si>
    <t xml:space="preserve">SALARY INCENTIVE </t>
  </si>
  <si>
    <t>G100229</t>
  </si>
  <si>
    <t xml:space="preserve">Telephone Expenses </t>
  </si>
  <si>
    <t>G100232</t>
  </si>
  <si>
    <t xml:space="preserve">Travelling Expenses </t>
  </si>
  <si>
    <t>G101583</t>
  </si>
  <si>
    <t xml:space="preserve">EDLI Contribution </t>
  </si>
  <si>
    <t>G100216</t>
  </si>
  <si>
    <t xml:space="preserve">Salary </t>
  </si>
  <si>
    <t>G100225</t>
  </si>
  <si>
    <t xml:space="preserve">Staff Welfare </t>
  </si>
  <si>
    <t>G100208</t>
  </si>
  <si>
    <t xml:space="preserve">Printing &amp; Stationery Charges </t>
  </si>
  <si>
    <t>G100210</t>
  </si>
  <si>
    <t xml:space="preserve">Provident Fund Expenses </t>
  </si>
  <si>
    <t>G100199</t>
  </si>
  <si>
    <t xml:space="preserve">Motor Car Expenses </t>
  </si>
  <si>
    <t>G100200</t>
  </si>
  <si>
    <t xml:space="preserve">Office Expenses </t>
  </si>
  <si>
    <t>G100201</t>
  </si>
  <si>
    <t xml:space="preserve">Office Rent </t>
  </si>
  <si>
    <t>G100204</t>
  </si>
  <si>
    <t xml:space="preserve">P. F. Inspection Charges </t>
  </si>
  <si>
    <t>G100191</t>
  </si>
  <si>
    <t xml:space="preserve">House Rent Allowance Charges </t>
  </si>
  <si>
    <t>G100185</t>
  </si>
  <si>
    <t xml:space="preserve">Family Pension Expn. </t>
  </si>
  <si>
    <t>G100161</t>
  </si>
  <si>
    <t xml:space="preserve">Bonus </t>
  </si>
  <si>
    <t>G100167</t>
  </si>
  <si>
    <t xml:space="preserve">Computer Care </t>
  </si>
  <si>
    <t>G100170</t>
  </si>
  <si>
    <t xml:space="preserve">Conveyance (SALARY) </t>
  </si>
  <si>
    <t>G101120</t>
  </si>
  <si>
    <t xml:space="preserve">RATE FEES and SUBSCRIPTION </t>
  </si>
  <si>
    <t>G101125</t>
  </si>
  <si>
    <t xml:space="preserve">INTERNET &amp; EDI EXPENSES </t>
  </si>
  <si>
    <t>G101119</t>
  </si>
  <si>
    <t xml:space="preserve">Conveyance Expenses </t>
  </si>
  <si>
    <t>G101140</t>
  </si>
  <si>
    <t xml:space="preserve">ELECTRICITY CHARGES </t>
  </si>
  <si>
    <t>G101565</t>
  </si>
  <si>
    <t xml:space="preserve">Detention Charges - Expense </t>
  </si>
  <si>
    <t>G102015</t>
  </si>
  <si>
    <t xml:space="preserve">BUSINESS SUPPORT SERVICES (EXPS) </t>
  </si>
  <si>
    <t>G102024</t>
  </si>
  <si>
    <t xml:space="preserve">AMS / ENS Charges - Expenses </t>
  </si>
  <si>
    <t>G100231</t>
  </si>
  <si>
    <t xml:space="preserve">Transportation Charges - Expense </t>
  </si>
  <si>
    <t>G100239</t>
  </si>
  <si>
    <t xml:space="preserve">Misc Recoverable - Expense </t>
  </si>
  <si>
    <t>G100242</t>
  </si>
  <si>
    <t xml:space="preserve">Ocean Freight - Expense </t>
  </si>
  <si>
    <t>G101458</t>
  </si>
  <si>
    <t xml:space="preserve">ORIGIN THC - Expense </t>
  </si>
  <si>
    <t>G101651</t>
  </si>
  <si>
    <t xml:space="preserve">Transportation Charges - Expense - S Tax </t>
  </si>
  <si>
    <t>G100179</t>
  </si>
  <si>
    <t xml:space="preserve">Documentation Charges - Expense </t>
  </si>
  <si>
    <t>G100190</t>
  </si>
  <si>
    <t xml:space="preserve">Handling Charges - Expense </t>
  </si>
  <si>
    <t>G100209</t>
  </si>
  <si>
    <t xml:space="preserve">Profit And Loss Account </t>
  </si>
  <si>
    <t>011082503316010</t>
  </si>
  <si>
    <t>JVCODE</t>
  </si>
  <si>
    <t>jv_jobno</t>
  </si>
  <si>
    <t>jv_narr</t>
  </si>
  <si>
    <t>jv_invoiceno</t>
  </si>
  <si>
    <t>entrytype</t>
  </si>
  <si>
    <t>itemcode</t>
  </si>
  <si>
    <t>Deptid</t>
  </si>
  <si>
    <t>011082000000001</t>
  </si>
  <si>
    <t>GR</t>
  </si>
  <si>
    <t>G101025</t>
  </si>
  <si>
    <t xml:space="preserve">Survey Fee - Expense </t>
  </si>
  <si>
    <t>G100220</t>
  </si>
  <si>
    <t xml:space="preserve">Scooter Expenses </t>
  </si>
  <si>
    <t>G100166</t>
  </si>
  <si>
    <t xml:space="preserve">City Compensatory Allowance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</si>
</sst>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/>
    </xf>
    <xf numFmtId="43" fontId="3" fillId="0" borderId="0" xfId="1" applyFont="1"/>
    <xf numFmtId="43" fontId="4" fillId="3" borderId="0" xfId="1" applyFont="1" applyFill="1" applyAlignment="1">
      <alignment horizontal="center"/>
    </xf>
    <xf numFmtId="0" fontId="0" fillId="0" borderId="0" xfId="0" applyAlignment="1"/>
    <xf numFmtId="43" fontId="2" fillId="0" borderId="0" xfId="1" applyFont="1" applyFill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0" borderId="1" xfId="1" quotePrefix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43" fontId="0" fillId="0" borderId="1" xfId="1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3" fontId="0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E9" sqref="E9"/>
    </sheetView>
  </sheetViews>
  <sheetFormatPr defaultColWidth="13.54296875" defaultRowHeight="14.5" x14ac:dyDescent="0.35"/>
  <cols>
    <col min="1" max="1" width="15.90625" bestFit="1" customWidth="1"/>
    <col min="3" max="3" width="35.6328125" bestFit="1" customWidth="1"/>
    <col min="4" max="5" width="14" style="1" bestFit="1" customWidth="1"/>
    <col min="14" max="14" width="32" style="5" customWidth="1"/>
  </cols>
  <sheetData>
    <row r="1" spans="1:14" x14ac:dyDescent="0.35">
      <c r="A1" s="7" t="s">
        <v>95</v>
      </c>
      <c r="B1" s="8" t="s">
        <v>0</v>
      </c>
      <c r="C1" s="8" t="s">
        <v>1</v>
      </c>
      <c r="D1" s="9" t="s">
        <v>2</v>
      </c>
      <c r="E1" s="9" t="s">
        <v>3</v>
      </c>
      <c r="F1" s="9" t="s">
        <v>4</v>
      </c>
      <c r="G1" s="9" t="s">
        <v>96</v>
      </c>
      <c r="H1" s="9" t="s">
        <v>97</v>
      </c>
      <c r="I1" s="9" t="s">
        <v>98</v>
      </c>
      <c r="J1" s="9" t="s">
        <v>99</v>
      </c>
      <c r="K1" s="9" t="s">
        <v>100</v>
      </c>
      <c r="L1" s="9" t="s">
        <v>101</v>
      </c>
      <c r="M1" s="6"/>
      <c r="N1" s="4" t="s">
        <v>5</v>
      </c>
    </row>
    <row r="2" spans="1:14" x14ac:dyDescent="0.35">
      <c r="A2" s="10" t="s">
        <v>94</v>
      </c>
      <c r="B2" s="11" t="s">
        <v>8</v>
      </c>
      <c r="C2" s="12" t="s">
        <v>9</v>
      </c>
      <c r="D2" s="13">
        <v>2815908.6</v>
      </c>
      <c r="E2" s="13">
        <v>0</v>
      </c>
      <c r="F2" s="14" t="str">
        <f xml:space="preserve"> IF(D2&gt;0,"D","C")</f>
        <v>D</v>
      </c>
      <c r="G2" s="15" t="s">
        <v>102</v>
      </c>
      <c r="H2" s="14"/>
      <c r="I2" s="14"/>
      <c r="J2" s="14" t="s">
        <v>103</v>
      </c>
      <c r="K2" s="14"/>
      <c r="L2" s="14">
        <v>73</v>
      </c>
      <c r="M2" s="2"/>
      <c r="N2" s="5" t="str">
        <f>"Insert into  acc_journalvoucdtls  select  jvcode ='" &amp;A2&amp;"', jv_account  ='" &amp;B2&amp;"',jv_jobno ='011082000000001',jv_trn ='"&amp;F2&amp;"',jv_debit =" &amp;D2&amp;",jv_credit =" &amp;E2&amp;",jv_narr ='',jv_InvoiceNo ='',entrytype ='GR',ITEMCODE ='',DeptId =73"</f>
        <v>Insert into  acc_journalvoucdtls  select  jvcode ='011082503316010', jv_account  ='G100920',jv_jobno ='011082000000001',jv_trn ='D',jv_debit =2815908.6,jv_credit =0,jv_narr ='',jv_InvoiceNo ='',entrytype ='GR',ITEMCODE ='',DeptId =73</v>
      </c>
    </row>
    <row r="3" spans="1:14" x14ac:dyDescent="0.35">
      <c r="A3" s="10" t="s">
        <v>94</v>
      </c>
      <c r="B3" s="11" t="s">
        <v>10</v>
      </c>
      <c r="C3" s="12" t="s">
        <v>11</v>
      </c>
      <c r="D3" s="13">
        <v>325265</v>
      </c>
      <c r="E3" s="13">
        <v>0</v>
      </c>
      <c r="F3" s="14" t="str">
        <f t="shared" ref="F3:F48" si="0" xml:space="preserve"> IF(D3&gt;0,"D","C")</f>
        <v>D</v>
      </c>
      <c r="G3" s="14"/>
      <c r="H3" s="14"/>
      <c r="I3" s="14"/>
      <c r="J3" s="14"/>
      <c r="K3" s="14"/>
      <c r="L3" s="14"/>
      <c r="M3" s="2"/>
      <c r="N3" s="5" t="str">
        <f>"Insert into  acc_journalvoucdtls  select  jvcode ='" &amp;A3&amp;"', jv_account  ='" &amp;B3&amp;"',jv_jobno ='011082000000001',jv_trn ='"&amp;F3&amp;"',jv_debit =" &amp;D3&amp;",jv_credit =" &amp;E3&amp;",jv_narr ='',jv_InvoiceNo ='',entrytype ='GR',ITEMCODE ='',DeptId =73"</f>
        <v>Insert into  acc_journalvoucdtls  select  jvcode ='011082503316010', jv_account  ='G101606',jv_jobno ='011082000000001',jv_trn ='D',jv_debit =325265,jv_credit =0,jv_narr ='',jv_InvoiceNo ='',entrytype ='GR',ITEMCODE ='',DeptId =73</v>
      </c>
    </row>
    <row r="4" spans="1:14" x14ac:dyDescent="0.35">
      <c r="A4" s="10" t="s">
        <v>94</v>
      </c>
      <c r="B4" s="11" t="s">
        <v>26</v>
      </c>
      <c r="C4" s="12" t="s">
        <v>27</v>
      </c>
      <c r="D4" s="13">
        <v>7751532</v>
      </c>
      <c r="E4" s="13">
        <v>0</v>
      </c>
      <c r="F4" s="14" t="str">
        <f t="shared" si="0"/>
        <v>D</v>
      </c>
      <c r="G4" s="14"/>
      <c r="H4" s="14"/>
      <c r="I4" s="14"/>
      <c r="J4" s="14"/>
      <c r="K4" s="14"/>
      <c r="L4" s="14"/>
      <c r="M4" s="2"/>
      <c r="N4" s="5" t="str">
        <f>"Insert into  acc_journalvoucdtls  select  jvcode ='" &amp;A4&amp;"', jv_account  ='" &amp;B4&amp;"',jv_jobno ='011082000000001',jv_trn ='"&amp;F4&amp;"',jv_debit =" &amp;D4&amp;",jv_credit =" &amp;E4&amp;",jv_narr ='',jv_InvoiceNo ='',entrytype ='GR',ITEMCODE ='',DeptId =73"</f>
        <v>Insert into  acc_journalvoucdtls  select  jvcode ='011082503316010', jv_account  ='G101604',jv_jobno ='011082000000001',jv_trn ='D',jv_debit =7751532,jv_credit =0,jv_narr ='',jv_InvoiceNo ='',entrytype ='GR',ITEMCODE ='',DeptId =73</v>
      </c>
    </row>
    <row r="5" spans="1:14" x14ac:dyDescent="0.35">
      <c r="A5" s="10" t="s">
        <v>94</v>
      </c>
      <c r="B5" s="11" t="s">
        <v>22</v>
      </c>
      <c r="C5" s="12" t="s">
        <v>23</v>
      </c>
      <c r="D5" s="13">
        <v>48212.19</v>
      </c>
      <c r="E5" s="13">
        <v>0</v>
      </c>
      <c r="F5" s="14" t="str">
        <f t="shared" si="0"/>
        <v>D</v>
      </c>
      <c r="G5" s="14"/>
      <c r="H5" s="14"/>
      <c r="I5" s="14"/>
      <c r="J5" s="14"/>
      <c r="K5" s="14"/>
      <c r="L5" s="14"/>
      <c r="M5" s="2"/>
      <c r="N5" s="5" t="str">
        <f>"Insert into  acc_journalvoucdtls  select  jvcode ='" &amp;A5&amp;"', jv_account  ='" &amp;B5&amp;"',jv_jobno ='011082000000001',jv_trn ='"&amp;F5&amp;"',jv_debit =" &amp;D5&amp;",jv_credit =" &amp;E5&amp;",jv_narr ='',jv_InvoiceNo ='',entrytype ='GR',ITEMCODE ='',DeptId =73"</f>
        <v>Insert into  acc_journalvoucdtls  select  jvcode ='011082503316010', jv_account  ='G101639',jv_jobno ='011082000000001',jv_trn ='D',jv_debit =48212.19,jv_credit =0,jv_narr ='',jv_InvoiceNo ='',entrytype ='GR',ITEMCODE ='',DeptId =73</v>
      </c>
    </row>
    <row r="6" spans="1:14" x14ac:dyDescent="0.35">
      <c r="A6" s="10" t="s">
        <v>94</v>
      </c>
      <c r="B6" s="11" t="s">
        <v>24</v>
      </c>
      <c r="C6" s="12" t="s">
        <v>25</v>
      </c>
      <c r="D6" s="13">
        <v>1883900</v>
      </c>
      <c r="E6" s="13">
        <v>0</v>
      </c>
      <c r="F6" s="14" t="str">
        <f t="shared" si="0"/>
        <v>D</v>
      </c>
      <c r="G6" s="14"/>
      <c r="H6" s="14"/>
      <c r="I6" s="14"/>
      <c r="J6" s="14"/>
      <c r="K6" s="14"/>
      <c r="L6" s="14"/>
      <c r="M6" s="2"/>
      <c r="N6" s="5" t="str">
        <f>"Insert into  acc_journalvoucdtls  select  jvcode ='" &amp;A6&amp;"', jv_account  ='" &amp;B6&amp;"',jv_jobno ='011082000000001',jv_trn ='"&amp;F6&amp;"',jv_debit =" &amp;D6&amp;",jv_credit =" &amp;E6&amp;",jv_narr ='',jv_InvoiceNo ='',entrytype ='GR',ITEMCODE ='',DeptId =73"</f>
        <v>Insert into  acc_journalvoucdtls  select  jvcode ='011082503316010', jv_account  ='G100243',jv_jobno ='011082000000001',jv_trn ='D',jv_debit =1883900,jv_credit =0,jv_narr ='',jv_InvoiceNo ='',entrytype ='GR',ITEMCODE ='',DeptId =73</v>
      </c>
    </row>
    <row r="7" spans="1:14" x14ac:dyDescent="0.35">
      <c r="A7" s="10" t="s">
        <v>94</v>
      </c>
      <c r="B7" s="11" t="s">
        <v>12</v>
      </c>
      <c r="C7" s="12" t="s">
        <v>13</v>
      </c>
      <c r="D7" s="13">
        <v>4750</v>
      </c>
      <c r="E7" s="13">
        <v>0</v>
      </c>
      <c r="F7" s="14" t="str">
        <f t="shared" si="0"/>
        <v>D</v>
      </c>
      <c r="G7" s="14"/>
      <c r="H7" s="14"/>
      <c r="I7" s="14"/>
      <c r="J7" s="14"/>
      <c r="K7" s="14"/>
      <c r="L7" s="14"/>
      <c r="M7" s="2"/>
      <c r="N7" s="5" t="str">
        <f>"Insert into  acc_journalvoucdtls  select  jvcode ='" &amp;A7&amp;"', jv_account  ='" &amp;B7&amp;"',jv_jobno ='011082000000001',jv_trn ='"&amp;F7&amp;"',jv_debit =" &amp;D7&amp;",jv_credit =" &amp;E7&amp;",jv_narr ='',jv_InvoiceNo ='',entrytype ='GR',ITEMCODE ='',DeptId =73"</f>
        <v>Insert into  acc_journalvoucdtls  select  jvcode ='011082503316010', jv_account  ='G101607',jv_jobno ='011082000000001',jv_trn ='D',jv_debit =4750,jv_credit =0,jv_narr ='',jv_InvoiceNo ='',entrytype ='GR',ITEMCODE ='',DeptId =73</v>
      </c>
    </row>
    <row r="8" spans="1:14" x14ac:dyDescent="0.35">
      <c r="A8" s="10" t="s">
        <v>94</v>
      </c>
      <c r="B8" s="11" t="s">
        <v>14</v>
      </c>
      <c r="C8" s="12" t="s">
        <v>15</v>
      </c>
      <c r="D8" s="13">
        <v>2840151.6</v>
      </c>
      <c r="E8" s="13">
        <v>0</v>
      </c>
      <c r="F8" s="14" t="str">
        <f t="shared" si="0"/>
        <v>D</v>
      </c>
      <c r="G8" s="14"/>
      <c r="H8" s="14"/>
      <c r="I8" s="14"/>
      <c r="J8" s="14"/>
      <c r="K8" s="14"/>
      <c r="L8" s="14"/>
      <c r="M8" s="2"/>
      <c r="N8" s="5" t="str">
        <f>"Insert into  acc_journalvoucdtls  select  jvcode ='" &amp;A8&amp;"', jv_account  ='" &amp;B8&amp;"',jv_jobno ='011082000000001',jv_trn ='"&amp;F8&amp;"',jv_debit =" &amp;D8&amp;",jv_credit =" &amp;E8&amp;",jv_narr ='',jv_InvoiceNo ='',entrytype ='GR',ITEMCODE ='',DeptId =73"</f>
        <v>Insert into  acc_journalvoucdtls  select  jvcode ='011082503316010', jv_account  ='G101608',jv_jobno ='011082000000001',jv_trn ='D',jv_debit =2840151.6,jv_credit =0,jv_narr ='',jv_InvoiceNo ='',entrytype ='GR',ITEMCODE ='',DeptId =73</v>
      </c>
    </row>
    <row r="9" spans="1:14" x14ac:dyDescent="0.35">
      <c r="A9" s="10" t="s">
        <v>94</v>
      </c>
      <c r="B9" s="11" t="s">
        <v>16</v>
      </c>
      <c r="C9" s="12" t="s">
        <v>17</v>
      </c>
      <c r="D9" s="13">
        <v>9956961.5199999996</v>
      </c>
      <c r="E9" s="13">
        <v>0</v>
      </c>
      <c r="F9" s="14" t="str">
        <f t="shared" si="0"/>
        <v>D</v>
      </c>
      <c r="G9" s="14"/>
      <c r="H9" s="14"/>
      <c r="I9" s="14"/>
      <c r="J9" s="14"/>
      <c r="K9" s="14"/>
      <c r="L9" s="14"/>
      <c r="M9" s="2"/>
      <c r="N9" s="5" t="str">
        <f>"Insert into  acc_journalvoucdtls  select  jvcode ='" &amp;A9&amp;"', jv_account  ='" &amp;B9&amp;"',jv_jobno ='011082000000001',jv_trn ='"&amp;F9&amp;"',jv_debit =" &amp;D9&amp;",jv_credit =" &amp;E9&amp;",jv_narr ='',jv_InvoiceNo ='',entrytype ='GR',ITEMCODE ='',DeptId =73"</f>
        <v>Insert into  acc_journalvoucdtls  select  jvcode ='011082503316010', jv_account  ='G101610',jv_jobno ='011082000000001',jv_trn ='D',jv_debit =9956961.52,jv_credit =0,jv_narr ='',jv_InvoiceNo ='',entrytype ='GR',ITEMCODE ='',DeptId =73</v>
      </c>
    </row>
    <row r="10" spans="1:14" x14ac:dyDescent="0.35">
      <c r="A10" s="10" t="s">
        <v>94</v>
      </c>
      <c r="B10" s="11" t="s">
        <v>18</v>
      </c>
      <c r="C10" s="12" t="s">
        <v>19</v>
      </c>
      <c r="D10" s="13">
        <v>360275</v>
      </c>
      <c r="E10" s="13">
        <v>0</v>
      </c>
      <c r="F10" s="14" t="str">
        <f t="shared" si="0"/>
        <v>D</v>
      </c>
      <c r="G10" s="14"/>
      <c r="H10" s="14"/>
      <c r="I10" s="14"/>
      <c r="J10" s="14"/>
      <c r="K10" s="14"/>
      <c r="L10" s="14"/>
      <c r="M10" s="2"/>
      <c r="N10" s="5" t="str">
        <f>"Insert into  acc_journalvoucdtls  select  jvcode ='" &amp;A10&amp;"', jv_account  ='" &amp;B10&amp;"',jv_jobno ='011082000000001',jv_trn ='"&amp;F10&amp;"',jv_debit =" &amp;D10&amp;",jv_credit =" &amp;E10&amp;",jv_narr ='',jv_InvoiceNo ='',entrytype ='GR',ITEMCODE ='',DeptId =73"</f>
        <v>Insert into  acc_journalvoucdtls  select  jvcode ='011082503316010', jv_account  ='G101611',jv_jobno ='011082000000001',jv_trn ='D',jv_debit =360275,jv_credit =0,jv_narr ='',jv_InvoiceNo ='',entrytype ='GR',ITEMCODE ='',DeptId =73</v>
      </c>
    </row>
    <row r="11" spans="1:14" x14ac:dyDescent="0.35">
      <c r="A11" s="10" t="s">
        <v>94</v>
      </c>
      <c r="B11" s="11" t="s">
        <v>20</v>
      </c>
      <c r="C11" s="12" t="s">
        <v>21</v>
      </c>
      <c r="D11" s="13">
        <v>1577149</v>
      </c>
      <c r="E11" s="13">
        <v>0</v>
      </c>
      <c r="F11" s="14" t="str">
        <f t="shared" si="0"/>
        <v>D</v>
      </c>
      <c r="G11" s="14"/>
      <c r="H11" s="14"/>
      <c r="I11" s="14"/>
      <c r="J11" s="14"/>
      <c r="K11" s="14"/>
      <c r="L11" s="14"/>
      <c r="M11" s="2"/>
      <c r="N11" s="5" t="str">
        <f>"Insert into  acc_journalvoucdtls  select  jvcode ='" &amp;A11&amp;"', jv_account  ='" &amp;B11&amp;"',jv_jobno ='011082000000001',jv_trn ='"&amp;F11&amp;"',jv_debit =" &amp;D11&amp;",jv_credit =" &amp;E11&amp;",jv_narr ='',jv_InvoiceNo ='',entrytype ='GR',ITEMCODE ='',DeptId =73"</f>
        <v>Insert into  acc_journalvoucdtls  select  jvcode ='011082503316010', jv_account  ='G101612',jv_jobno ='011082000000001',jv_trn ='D',jv_debit =1577149,jv_credit =0,jv_narr ='',jv_InvoiceNo ='',entrytype ='GR',ITEMCODE ='',DeptId =73</v>
      </c>
    </row>
    <row r="12" spans="1:14" x14ac:dyDescent="0.35">
      <c r="A12" s="10" t="s">
        <v>94</v>
      </c>
      <c r="B12" s="11" t="s">
        <v>6</v>
      </c>
      <c r="C12" s="12" t="s">
        <v>7</v>
      </c>
      <c r="D12" s="13">
        <v>64.5</v>
      </c>
      <c r="E12" s="13">
        <v>0</v>
      </c>
      <c r="F12" s="14" t="str">
        <f t="shared" si="0"/>
        <v>D</v>
      </c>
      <c r="G12" s="14"/>
      <c r="H12" s="14"/>
      <c r="I12" s="14"/>
      <c r="J12" s="14"/>
      <c r="K12" s="14"/>
      <c r="L12" s="14"/>
      <c r="M12" s="2"/>
      <c r="N12" s="5" t="str">
        <f>"Insert into  acc_journalvoucdtls  select  jvcode ='" &amp;A12&amp;"', jv_account  ='" &amp;B12&amp;"',jv_jobno ='011082000000001',jv_trn ='"&amp;F12&amp;"',jv_debit =" &amp;D12&amp;",jv_credit =" &amp;E12&amp;",jv_narr ='',jv_InvoiceNo ='',entrytype ='GR',ITEMCODE ='',DeptId =73"</f>
        <v>Insert into  acc_journalvoucdtls  select  jvcode ='011082503316010', jv_account  ='G101253',jv_jobno ='011082000000001',jv_trn ='D',jv_debit =64.5,jv_credit =0,jv_narr ='',jv_InvoiceNo ='',entrytype ='GR',ITEMCODE ='',DeptId =73</v>
      </c>
    </row>
    <row r="13" spans="1:14" x14ac:dyDescent="0.35">
      <c r="A13" s="10" t="s">
        <v>94</v>
      </c>
      <c r="B13" s="11" t="s">
        <v>104</v>
      </c>
      <c r="C13" s="12" t="s">
        <v>105</v>
      </c>
      <c r="D13" s="13">
        <v>0</v>
      </c>
      <c r="E13" s="13">
        <v>295571.40000000002</v>
      </c>
      <c r="F13" s="14" t="str">
        <f t="shared" si="0"/>
        <v>C</v>
      </c>
      <c r="G13" s="14"/>
      <c r="H13" s="14"/>
      <c r="I13" s="14"/>
      <c r="J13" s="14"/>
      <c r="K13" s="14"/>
      <c r="L13" s="14"/>
      <c r="M13" s="2"/>
      <c r="N13" s="5" t="str">
        <f>"Insert into  acc_journalvoucdtls  select  jvcode ='" &amp;A13&amp;"', jv_account  ='" &amp;B13&amp;"',jv_jobno ='011082000000001',jv_trn ='"&amp;F13&amp;"',jv_debit =" &amp;D13&amp;",jv_credit =" &amp;E13&amp;",jv_narr ='',jv_InvoiceNo ='',entrytype ='GR',ITEMCODE ='',DeptId =73"</f>
        <v>Insert into  acc_journalvoucdtls  select  jvcode ='011082503316010', jv_account  ='G101025',jv_jobno ='011082000000001',jv_trn ='C',jv_debit =0,jv_credit =295571.4,jv_narr ='',jv_InvoiceNo ='',entrytype ='GR',ITEMCODE ='',DeptId =73</v>
      </c>
    </row>
    <row r="14" spans="1:14" x14ac:dyDescent="0.35">
      <c r="A14" s="10" t="s">
        <v>94</v>
      </c>
      <c r="B14" s="11" t="s">
        <v>72</v>
      </c>
      <c r="C14" s="12" t="s">
        <v>73</v>
      </c>
      <c r="D14" s="13">
        <v>0</v>
      </c>
      <c r="E14" s="13">
        <v>381395.05</v>
      </c>
      <c r="F14" s="14" t="str">
        <f t="shared" si="0"/>
        <v>C</v>
      </c>
      <c r="G14" s="14"/>
      <c r="H14" s="14"/>
      <c r="I14" s="14"/>
      <c r="J14" s="14"/>
      <c r="K14" s="14"/>
      <c r="L14" s="14"/>
      <c r="M14" s="2"/>
      <c r="N14" s="5" t="str">
        <f>"Insert into  acc_journalvoucdtls  select  jvcode ='" &amp;A14&amp;"', jv_account  ='" &amp;B14&amp;"',jv_jobno ='011082000000001',jv_trn ='"&amp;F14&amp;"',jv_debit =" &amp;D14&amp;",jv_credit =" &amp;E14&amp;",jv_narr ='',jv_InvoiceNo ='',entrytype ='GR',ITEMCODE ='',DeptId =73"</f>
        <v>Insert into  acc_journalvoucdtls  select  jvcode ='011082503316010', jv_account  ='G101565',jv_jobno ='011082000000001',jv_trn ='C',jv_debit =0,jv_credit =381395.05,jv_narr ='',jv_InvoiceNo ='',entrytype ='GR',ITEMCODE ='',DeptId =73</v>
      </c>
    </row>
    <row r="15" spans="1:14" x14ac:dyDescent="0.35">
      <c r="A15" s="10" t="s">
        <v>94</v>
      </c>
      <c r="B15" s="11" t="s">
        <v>86</v>
      </c>
      <c r="C15" s="12" t="s">
        <v>87</v>
      </c>
      <c r="D15" s="13">
        <v>0</v>
      </c>
      <c r="E15" s="13">
        <v>6275</v>
      </c>
      <c r="F15" s="14" t="str">
        <f t="shared" si="0"/>
        <v>C</v>
      </c>
      <c r="G15" s="14"/>
      <c r="H15" s="14"/>
      <c r="I15" s="14"/>
      <c r="J15" s="14"/>
      <c r="K15" s="14"/>
      <c r="L15" s="14"/>
      <c r="M15" s="2"/>
      <c r="N15" s="5" t="str">
        <f>"Insert into  acc_journalvoucdtls  select  jvcode ='" &amp;A15&amp;"', jv_account  ='" &amp;B15&amp;"',jv_jobno ='011082000000001',jv_trn ='"&amp;F15&amp;"',jv_debit =" &amp;D15&amp;",jv_credit =" &amp;E15&amp;",jv_narr ='',jv_InvoiceNo ='',entrytype ='GR',ITEMCODE ='',DeptId =73"</f>
        <v>Insert into  acc_journalvoucdtls  select  jvcode ='011082503316010', jv_account  ='G101651',jv_jobno ='011082000000001',jv_trn ='C',jv_debit =0,jv_credit =6275,jv_narr ='',jv_InvoiceNo ='',entrytype ='GR',ITEMCODE ='',DeptId =73</v>
      </c>
    </row>
    <row r="16" spans="1:14" x14ac:dyDescent="0.35">
      <c r="A16" s="10" t="s">
        <v>94</v>
      </c>
      <c r="B16" s="11" t="s">
        <v>88</v>
      </c>
      <c r="C16" s="12" t="s">
        <v>89</v>
      </c>
      <c r="D16" s="13">
        <v>0</v>
      </c>
      <c r="E16" s="13">
        <v>708153.03</v>
      </c>
      <c r="F16" s="14" t="str">
        <f t="shared" si="0"/>
        <v>C</v>
      </c>
      <c r="G16" s="14"/>
      <c r="H16" s="14"/>
      <c r="I16" s="14"/>
      <c r="J16" s="14"/>
      <c r="K16" s="14"/>
      <c r="L16" s="14"/>
      <c r="M16" s="2"/>
      <c r="N16" s="5" t="str">
        <f>"Insert into  acc_journalvoucdtls  select  jvcode ='" &amp;A16&amp;"', jv_account  ='" &amp;B16&amp;"',jv_jobno ='011082000000001',jv_trn ='"&amp;F16&amp;"',jv_debit =" &amp;D16&amp;",jv_credit =" &amp;E16&amp;",jv_narr ='',jv_InvoiceNo ='',entrytype ='GR',ITEMCODE ='',DeptId =73"</f>
        <v>Insert into  acc_journalvoucdtls  select  jvcode ='011082503316010', jv_account  ='G100179',jv_jobno ='011082000000001',jv_trn ='C',jv_debit =0,jv_credit =708153.03,jv_narr ='',jv_InvoiceNo ='',entrytype ='GR',ITEMCODE ='',DeptId =73</v>
      </c>
    </row>
    <row r="17" spans="1:14" x14ac:dyDescent="0.35">
      <c r="A17" s="10" t="s">
        <v>94</v>
      </c>
      <c r="B17" s="11" t="s">
        <v>90</v>
      </c>
      <c r="C17" s="12" t="s">
        <v>91</v>
      </c>
      <c r="D17" s="13">
        <v>0</v>
      </c>
      <c r="E17" s="13">
        <v>1842595.16</v>
      </c>
      <c r="F17" s="14" t="str">
        <f t="shared" si="0"/>
        <v>C</v>
      </c>
      <c r="G17" s="14"/>
      <c r="H17" s="14"/>
      <c r="I17" s="14"/>
      <c r="J17" s="14"/>
      <c r="K17" s="14"/>
      <c r="L17" s="14"/>
      <c r="M17" s="2"/>
      <c r="N17" s="5" t="str">
        <f>"Insert into  acc_journalvoucdtls  select  jvcode ='" &amp;A17&amp;"', jv_account  ='" &amp;B17&amp;"',jv_jobno ='011082000000001',jv_trn ='"&amp;F17&amp;"',jv_debit =" &amp;D17&amp;",jv_credit =" &amp;E17&amp;",jv_narr ='',jv_InvoiceNo ='',entrytype ='GR',ITEMCODE ='',DeptId =73"</f>
        <v>Insert into  acc_journalvoucdtls  select  jvcode ='011082503316010', jv_account  ='G100190',jv_jobno ='011082000000001',jv_trn ='C',jv_debit =0,jv_credit =1842595.16,jv_narr ='',jv_InvoiceNo ='',entrytype ='GR',ITEMCODE ='',DeptId =73</v>
      </c>
    </row>
    <row r="18" spans="1:14" x14ac:dyDescent="0.35">
      <c r="A18" s="10" t="s">
        <v>94</v>
      </c>
      <c r="B18" s="11" t="s">
        <v>78</v>
      </c>
      <c r="C18" s="12" t="s">
        <v>79</v>
      </c>
      <c r="D18" s="13">
        <v>0</v>
      </c>
      <c r="E18" s="13">
        <v>1540855.01</v>
      </c>
      <c r="F18" s="14" t="str">
        <f t="shared" si="0"/>
        <v>C</v>
      </c>
      <c r="G18" s="14"/>
      <c r="H18" s="14"/>
      <c r="I18" s="14"/>
      <c r="J18" s="14"/>
      <c r="K18" s="14"/>
      <c r="L18" s="14"/>
      <c r="M18" s="2"/>
      <c r="N18" s="5" t="str">
        <f>"Insert into  acc_journalvoucdtls  select  jvcode ='" &amp;A18&amp;"', jv_account  ='" &amp;B18&amp;"',jv_jobno ='011082000000001',jv_trn ='"&amp;F18&amp;"',jv_debit =" &amp;D18&amp;",jv_credit =" &amp;E18&amp;",jv_narr ='',jv_InvoiceNo ='',entrytype ='GR',ITEMCODE ='',DeptId =73"</f>
        <v>Insert into  acc_journalvoucdtls  select  jvcode ='011082503316010', jv_account  ='G100231',jv_jobno ='011082000000001',jv_trn ='C',jv_debit =0,jv_credit =1540855.01,jv_narr ='',jv_InvoiceNo ='',entrytype ='GR',ITEMCODE ='',DeptId =73</v>
      </c>
    </row>
    <row r="19" spans="1:14" x14ac:dyDescent="0.35">
      <c r="A19" s="10" t="s">
        <v>94</v>
      </c>
      <c r="B19" s="11" t="s">
        <v>80</v>
      </c>
      <c r="C19" s="12" t="s">
        <v>81</v>
      </c>
      <c r="D19" s="13">
        <v>0</v>
      </c>
      <c r="E19" s="13">
        <v>3500</v>
      </c>
      <c r="F19" s="14" t="str">
        <f t="shared" si="0"/>
        <v>C</v>
      </c>
      <c r="G19" s="14"/>
      <c r="H19" s="14"/>
      <c r="I19" s="14"/>
      <c r="J19" s="14"/>
      <c r="K19" s="14"/>
      <c r="L19" s="14"/>
      <c r="M19" s="2"/>
      <c r="N19" s="5" t="str">
        <f>"Insert into  acc_journalvoucdtls  select  jvcode ='" &amp;A19&amp;"', jv_account  ='" &amp;B19&amp;"',jv_jobno ='011082000000001',jv_trn ='"&amp;F19&amp;"',jv_debit =" &amp;D19&amp;",jv_credit =" &amp;E19&amp;",jv_narr ='',jv_InvoiceNo ='',entrytype ='GR',ITEMCODE ='',DeptId =73"</f>
        <v>Insert into  acc_journalvoucdtls  select  jvcode ='011082503316010', jv_account  ='G100239',jv_jobno ='011082000000001',jv_trn ='C',jv_debit =0,jv_credit =3500,jv_narr ='',jv_InvoiceNo ='',entrytype ='GR',ITEMCODE ='',DeptId =73</v>
      </c>
    </row>
    <row r="20" spans="1:14" x14ac:dyDescent="0.35">
      <c r="A20" s="10" t="s">
        <v>94</v>
      </c>
      <c r="B20" s="11" t="s">
        <v>82</v>
      </c>
      <c r="C20" s="12" t="s">
        <v>83</v>
      </c>
      <c r="D20" s="13">
        <v>0</v>
      </c>
      <c r="E20" s="13">
        <v>7830513.2400000002</v>
      </c>
      <c r="F20" s="14" t="str">
        <f t="shared" si="0"/>
        <v>C</v>
      </c>
      <c r="G20" s="14"/>
      <c r="H20" s="14"/>
      <c r="I20" s="14"/>
      <c r="J20" s="14"/>
      <c r="K20" s="14"/>
      <c r="L20" s="14"/>
      <c r="M20" s="2"/>
      <c r="N20" s="5" t="str">
        <f>"Insert into  acc_journalvoucdtls  select  jvcode ='" &amp;A20&amp;"', jv_account  ='" &amp;B20&amp;"',jv_jobno ='011082000000001',jv_trn ='"&amp;F20&amp;"',jv_debit =" &amp;D20&amp;",jv_credit =" &amp;E20&amp;",jv_narr ='',jv_InvoiceNo ='',entrytype ='GR',ITEMCODE ='',DeptId =73"</f>
        <v>Insert into  acc_journalvoucdtls  select  jvcode ='011082503316010', jv_account  ='G100242',jv_jobno ='011082000000001',jv_trn ='C',jv_debit =0,jv_credit =7830513.24,jv_narr ='',jv_InvoiceNo ='',entrytype ='GR',ITEMCODE ='',DeptId =73</v>
      </c>
    </row>
    <row r="21" spans="1:14" x14ac:dyDescent="0.35">
      <c r="A21" s="10" t="s">
        <v>94</v>
      </c>
      <c r="B21" s="11" t="s">
        <v>84</v>
      </c>
      <c r="C21" s="12" t="s">
        <v>85</v>
      </c>
      <c r="D21" s="13">
        <v>0</v>
      </c>
      <c r="E21" s="13">
        <v>877927.95</v>
      </c>
      <c r="F21" s="14" t="str">
        <f t="shared" si="0"/>
        <v>C</v>
      </c>
      <c r="G21" s="14"/>
      <c r="H21" s="14"/>
      <c r="I21" s="14"/>
      <c r="J21" s="14"/>
      <c r="K21" s="14"/>
      <c r="L21" s="14"/>
      <c r="M21" s="2"/>
      <c r="N21" s="5" t="str">
        <f>"Insert into  acc_journalvoucdtls  select  jvcode ='" &amp;A21&amp;"', jv_account  ='" &amp;B21&amp;"',jv_jobno ='011082000000001',jv_trn ='"&amp;F21&amp;"',jv_debit =" &amp;D21&amp;",jv_credit =" &amp;E21&amp;",jv_narr ='',jv_InvoiceNo ='',entrytype ='GR',ITEMCODE ='',DeptId =73"</f>
        <v>Insert into  acc_journalvoucdtls  select  jvcode ='011082503316010', jv_account  ='G101458',jv_jobno ='011082000000001',jv_trn ='C',jv_debit =0,jv_credit =877927.95,jv_narr ='',jv_InvoiceNo ='',entrytype ='GR',ITEMCODE ='',DeptId =73</v>
      </c>
    </row>
    <row r="22" spans="1:14" x14ac:dyDescent="0.35">
      <c r="A22" s="10" t="s">
        <v>94</v>
      </c>
      <c r="B22" s="11" t="s">
        <v>74</v>
      </c>
      <c r="C22" s="12" t="s">
        <v>75</v>
      </c>
      <c r="D22" s="13">
        <v>0</v>
      </c>
      <c r="E22" s="13">
        <v>2167770.98</v>
      </c>
      <c r="F22" s="14" t="str">
        <f t="shared" si="0"/>
        <v>C</v>
      </c>
      <c r="G22" s="14"/>
      <c r="H22" s="14"/>
      <c r="I22" s="14"/>
      <c r="J22" s="14"/>
      <c r="K22" s="14"/>
      <c r="L22" s="14"/>
      <c r="M22" s="2"/>
      <c r="N22" s="5" t="str">
        <f>"Insert into  acc_journalvoucdtls  select  jvcode ='" &amp;A22&amp;"', jv_account  ='" &amp;B22&amp;"',jv_jobno ='011082000000001',jv_trn ='"&amp;F22&amp;"',jv_debit =" &amp;D22&amp;",jv_credit =" &amp;E22&amp;",jv_narr ='',jv_InvoiceNo ='',entrytype ='GR',ITEMCODE ='',DeptId =73"</f>
        <v>Insert into  acc_journalvoucdtls  select  jvcode ='011082503316010', jv_account  ='G102015',jv_jobno ='011082000000001',jv_trn ='C',jv_debit =0,jv_credit =2167770.98,jv_narr ='',jv_InvoiceNo ='',entrytype ='GR',ITEMCODE ='',DeptId =73</v>
      </c>
    </row>
    <row r="23" spans="1:14" x14ac:dyDescent="0.35">
      <c r="A23" s="10" t="s">
        <v>94</v>
      </c>
      <c r="B23" s="11" t="s">
        <v>76</v>
      </c>
      <c r="C23" s="12" t="s">
        <v>77</v>
      </c>
      <c r="D23" s="13">
        <v>0</v>
      </c>
      <c r="E23" s="13">
        <v>2576.4</v>
      </c>
      <c r="F23" s="14" t="str">
        <f t="shared" si="0"/>
        <v>C</v>
      </c>
      <c r="G23" s="14"/>
      <c r="H23" s="14"/>
      <c r="I23" s="14"/>
      <c r="J23" s="14"/>
      <c r="K23" s="14"/>
      <c r="L23" s="14"/>
      <c r="M23" s="2"/>
      <c r="N23" s="5" t="str">
        <f>"Insert into  acc_journalvoucdtls  select  jvcode ='" &amp;A23&amp;"', jv_account  ='" &amp;B23&amp;"',jv_jobno ='011082000000001',jv_trn ='"&amp;F23&amp;"',jv_debit =" &amp;D23&amp;",jv_credit =" &amp;E23&amp;",jv_narr ='',jv_InvoiceNo ='',entrytype ='GR',ITEMCODE ='',DeptId =73"</f>
        <v>Insert into  acc_journalvoucdtls  select  jvcode ='011082503316010', jv_account  ='G102024',jv_jobno ='011082000000001',jv_trn ='C',jv_debit =0,jv_credit =2576.4,jv_narr ='',jv_InvoiceNo ='',entrytype ='GR',ITEMCODE ='',DeptId =73</v>
      </c>
    </row>
    <row r="24" spans="1:14" x14ac:dyDescent="0.35">
      <c r="A24" s="10" t="s">
        <v>94</v>
      </c>
      <c r="B24" s="11" t="s">
        <v>28</v>
      </c>
      <c r="C24" s="12" t="s">
        <v>29</v>
      </c>
      <c r="D24" s="13">
        <v>0</v>
      </c>
      <c r="E24" s="13">
        <v>16730</v>
      </c>
      <c r="F24" s="14" t="str">
        <f t="shared" si="0"/>
        <v>C</v>
      </c>
      <c r="G24" s="14"/>
      <c r="H24" s="14"/>
      <c r="I24" s="14"/>
      <c r="J24" s="14"/>
      <c r="K24" s="14"/>
      <c r="L24" s="14"/>
      <c r="M24" s="2"/>
      <c r="N24" s="5" t="str">
        <f>"Insert into  acc_journalvoucdtls  select  jvcode ='" &amp;A24&amp;"', jv_account  ='" &amp;B24&amp;"',jv_jobno ='011082000000001',jv_trn ='"&amp;F24&amp;"',jv_debit =" &amp;D24&amp;",jv_credit =" &amp;E24&amp;",jv_narr ='',jv_InvoiceNo ='',entrytype ='GR',ITEMCODE ='',DeptId =73"</f>
        <v>Insert into  acc_journalvoucdtls  select  jvcode ='011082503316010', jv_account  ='G100908',jv_jobno ='011082000000001',jv_trn ='C',jv_debit =0,jv_credit =16730,jv_narr ='',jv_InvoiceNo ='',entrytype ='GR',ITEMCODE ='',DeptId =73</v>
      </c>
    </row>
    <row r="25" spans="1:14" x14ac:dyDescent="0.35">
      <c r="A25" s="10" t="s">
        <v>94</v>
      </c>
      <c r="B25" s="11" t="s">
        <v>64</v>
      </c>
      <c r="C25" s="12" t="s">
        <v>65</v>
      </c>
      <c r="D25" s="13">
        <v>0</v>
      </c>
      <c r="E25" s="13">
        <v>18167</v>
      </c>
      <c r="F25" s="14" t="str">
        <f t="shared" si="0"/>
        <v>C</v>
      </c>
      <c r="G25" s="14"/>
      <c r="H25" s="14"/>
      <c r="I25" s="14"/>
      <c r="J25" s="14"/>
      <c r="K25" s="14"/>
      <c r="L25" s="14"/>
      <c r="M25" s="2"/>
      <c r="N25" s="5" t="str">
        <f>"Insert into  acc_journalvoucdtls  select  jvcode ='" &amp;A25&amp;"', jv_account  ='" &amp;B25&amp;"',jv_jobno ='011082000000001',jv_trn ='"&amp;F25&amp;"',jv_debit =" &amp;D25&amp;",jv_credit =" &amp;E25&amp;",jv_narr ='',jv_InvoiceNo ='',entrytype ='GR',ITEMCODE ='',DeptId =73"</f>
        <v>Insert into  acc_journalvoucdtls  select  jvcode ='011082503316010', jv_account  ='G101120',jv_jobno ='011082000000001',jv_trn ='C',jv_debit =0,jv_credit =18167,jv_narr ='',jv_InvoiceNo ='',entrytype ='GR',ITEMCODE ='',DeptId =73</v>
      </c>
    </row>
    <row r="26" spans="1:14" x14ac:dyDescent="0.35">
      <c r="A26" s="10" t="s">
        <v>94</v>
      </c>
      <c r="B26" s="11" t="s">
        <v>66</v>
      </c>
      <c r="C26" s="12" t="s">
        <v>67</v>
      </c>
      <c r="D26" s="13">
        <v>0</v>
      </c>
      <c r="E26" s="13">
        <v>2999.18</v>
      </c>
      <c r="F26" s="14" t="str">
        <f t="shared" si="0"/>
        <v>C</v>
      </c>
      <c r="G26" s="14"/>
      <c r="H26" s="14"/>
      <c r="I26" s="14"/>
      <c r="J26" s="14"/>
      <c r="K26" s="14"/>
      <c r="L26" s="14"/>
      <c r="M26" s="2"/>
      <c r="N26" s="5" t="str">
        <f>"Insert into  acc_journalvoucdtls  select  jvcode ='" &amp;A26&amp;"', jv_account  ='" &amp;B26&amp;"',jv_jobno ='011082000000001',jv_trn ='"&amp;F26&amp;"',jv_debit =" &amp;D26&amp;",jv_credit =" &amp;E26&amp;",jv_narr ='',jv_InvoiceNo ='',entrytype ='GR',ITEMCODE ='',DeptId =73"</f>
        <v>Insert into  acc_journalvoucdtls  select  jvcode ='011082503316010', jv_account  ='G101125',jv_jobno ='011082000000001',jv_trn ='C',jv_debit =0,jv_credit =2999.18,jv_narr ='',jv_InvoiceNo ='',entrytype ='GR',ITEMCODE ='',DeptId =73</v>
      </c>
    </row>
    <row r="27" spans="1:14" x14ac:dyDescent="0.35">
      <c r="A27" s="10" t="s">
        <v>94</v>
      </c>
      <c r="B27" s="11" t="s">
        <v>68</v>
      </c>
      <c r="C27" s="12" t="s">
        <v>69</v>
      </c>
      <c r="D27" s="13">
        <v>0</v>
      </c>
      <c r="E27" s="13">
        <v>63778</v>
      </c>
      <c r="F27" s="14" t="str">
        <f t="shared" si="0"/>
        <v>C</v>
      </c>
      <c r="G27" s="14"/>
      <c r="H27" s="14"/>
      <c r="I27" s="14"/>
      <c r="J27" s="14"/>
      <c r="K27" s="14"/>
      <c r="L27" s="14"/>
      <c r="M27" s="2"/>
      <c r="N27" s="5" t="str">
        <f>"Insert into  acc_journalvoucdtls  select  jvcode ='" &amp;A27&amp;"', jv_account  ='" &amp;B27&amp;"',jv_jobno ='011082000000001',jv_trn ='"&amp;F27&amp;"',jv_debit =" &amp;D27&amp;",jv_credit =" &amp;E27&amp;",jv_narr ='',jv_InvoiceNo ='',entrytype ='GR',ITEMCODE ='',DeptId =73"</f>
        <v>Insert into  acc_journalvoucdtls  select  jvcode ='011082503316010', jv_account  ='G101119',jv_jobno ='011082000000001',jv_trn ='C',jv_debit =0,jv_credit =63778,jv_narr ='',jv_InvoiceNo ='',entrytype ='GR',ITEMCODE ='',DeptId =73</v>
      </c>
    </row>
    <row r="28" spans="1:14" x14ac:dyDescent="0.35">
      <c r="A28" s="10" t="s">
        <v>94</v>
      </c>
      <c r="B28" s="11" t="s">
        <v>70</v>
      </c>
      <c r="C28" s="12" t="s">
        <v>71</v>
      </c>
      <c r="D28" s="13">
        <v>0</v>
      </c>
      <c r="E28" s="13">
        <v>63800</v>
      </c>
      <c r="F28" s="14" t="str">
        <f t="shared" si="0"/>
        <v>C</v>
      </c>
      <c r="G28" s="14"/>
      <c r="H28" s="14"/>
      <c r="I28" s="14"/>
      <c r="J28" s="14"/>
      <c r="K28" s="14"/>
      <c r="L28" s="14"/>
      <c r="M28" s="2"/>
      <c r="N28" s="5" t="str">
        <f>"Insert into  acc_journalvoucdtls  select  jvcode ='" &amp;A28&amp;"', jv_account  ='" &amp;B28&amp;"',jv_jobno ='011082000000001',jv_trn ='"&amp;F28&amp;"',jv_debit =" &amp;D28&amp;",jv_credit =" &amp;E28&amp;",jv_narr ='',jv_InvoiceNo ='',entrytype ='GR',ITEMCODE ='',DeptId =73"</f>
        <v>Insert into  acc_journalvoucdtls  select  jvcode ='011082503316010', jv_account  ='G101140',jv_jobno ='011082000000001',jv_trn ='C',jv_debit =0,jv_credit =63800,jv_narr ='',jv_InvoiceNo ='',entrytype ='GR',ITEMCODE ='',DeptId =73</v>
      </c>
    </row>
    <row r="29" spans="1:14" x14ac:dyDescent="0.35">
      <c r="A29" s="10" t="s">
        <v>94</v>
      </c>
      <c r="B29" s="11" t="s">
        <v>58</v>
      </c>
      <c r="C29" s="12" t="s">
        <v>59</v>
      </c>
      <c r="D29" s="13">
        <v>0</v>
      </c>
      <c r="E29" s="13">
        <v>14000</v>
      </c>
      <c r="F29" s="14" t="str">
        <f t="shared" si="0"/>
        <v>C</v>
      </c>
      <c r="G29" s="14"/>
      <c r="H29" s="14"/>
      <c r="I29" s="14"/>
      <c r="J29" s="14"/>
      <c r="K29" s="14"/>
      <c r="L29" s="14"/>
      <c r="M29" s="2"/>
      <c r="N29" s="5" t="str">
        <f>"Insert into  acc_journalvoucdtls  select  jvcode ='" &amp;A29&amp;"', jv_account  ='" &amp;B29&amp;"',jv_jobno ='011082000000001',jv_trn ='"&amp;F29&amp;"',jv_debit =" &amp;D29&amp;",jv_credit =" &amp;E29&amp;",jv_narr ='',jv_InvoiceNo ='',entrytype ='GR',ITEMCODE ='',DeptId =73"</f>
        <v>Insert into  acc_journalvoucdtls  select  jvcode ='011082503316010', jv_account  ='G100161',jv_jobno ='011082000000001',jv_trn ='C',jv_debit =0,jv_credit =14000,jv_narr ='',jv_InvoiceNo ='',entrytype ='GR',ITEMCODE ='',DeptId =73</v>
      </c>
    </row>
    <row r="30" spans="1:14" x14ac:dyDescent="0.35">
      <c r="A30" s="10" t="s">
        <v>94</v>
      </c>
      <c r="B30" s="11" t="s">
        <v>30</v>
      </c>
      <c r="C30" s="12" t="s">
        <v>31</v>
      </c>
      <c r="D30" s="13">
        <v>0</v>
      </c>
      <c r="E30" s="13">
        <v>3244250</v>
      </c>
      <c r="F30" s="14" t="str">
        <f t="shared" si="0"/>
        <v>C</v>
      </c>
      <c r="G30" s="14"/>
      <c r="H30" s="14"/>
      <c r="I30" s="14"/>
      <c r="J30" s="14"/>
      <c r="K30" s="14"/>
      <c r="L30" s="14"/>
      <c r="M30" s="2"/>
      <c r="N30" s="5" t="str">
        <f>"Insert into  acc_journalvoucdtls  select  jvcode ='" &amp;A30&amp;"', jv_account  ='" &amp;B30&amp;"',jv_jobno ='011082000000001',jv_trn ='"&amp;F30&amp;"',jv_debit =" &amp;D30&amp;",jv_credit =" &amp;E30&amp;",jv_narr ='',jv_InvoiceNo ='',entrytype ='GR',ITEMCODE ='',DeptId =73"</f>
        <v>Insert into  acc_journalvoucdtls  select  jvcode ='011082503316010', jv_account  ='G101896',jv_jobno ='011082000000001',jv_trn ='C',jv_debit =0,jv_credit =3244250,jv_narr ='',jv_InvoiceNo ='',entrytype ='GR',ITEMCODE ='',DeptId =73</v>
      </c>
    </row>
    <row r="31" spans="1:14" x14ac:dyDescent="0.35">
      <c r="A31" s="10" t="s">
        <v>94</v>
      </c>
      <c r="B31" s="11" t="s">
        <v>38</v>
      </c>
      <c r="C31" s="12" t="s">
        <v>39</v>
      </c>
      <c r="D31" s="13">
        <v>0</v>
      </c>
      <c r="E31" s="13">
        <v>319752</v>
      </c>
      <c r="F31" s="14" t="str">
        <f t="shared" si="0"/>
        <v>C</v>
      </c>
      <c r="G31" s="14"/>
      <c r="H31" s="14"/>
      <c r="I31" s="14"/>
      <c r="J31" s="14"/>
      <c r="K31" s="14"/>
      <c r="L31" s="14"/>
      <c r="M31" s="2"/>
      <c r="N31" s="5" t="str">
        <f>"Insert into  acc_journalvoucdtls  select  jvcode ='" &amp;A31&amp;"', jv_account  ='" &amp;B31&amp;"',jv_jobno ='011082000000001',jv_trn ='"&amp;F31&amp;"',jv_debit =" &amp;D31&amp;",jv_credit =" &amp;E31&amp;",jv_narr ='',jv_InvoiceNo ='',entrytype ='GR',ITEMCODE ='',DeptId =73"</f>
        <v>Insert into  acc_journalvoucdtls  select  jvcode ='011082503316010', jv_account  ='G100216',jv_jobno ='011082000000001',jv_trn ='C',jv_debit =0,jv_credit =319752,jv_narr ='',jv_InvoiceNo ='',entrytype ='GR',ITEMCODE ='',DeptId =73</v>
      </c>
    </row>
    <row r="32" spans="1:14" x14ac:dyDescent="0.35">
      <c r="A32" s="10" t="s">
        <v>94</v>
      </c>
      <c r="B32" s="11" t="s">
        <v>106</v>
      </c>
      <c r="C32" s="12" t="s">
        <v>107</v>
      </c>
      <c r="D32" s="13">
        <v>0</v>
      </c>
      <c r="E32" s="13">
        <v>38460</v>
      </c>
      <c r="F32" s="14" t="str">
        <f t="shared" si="0"/>
        <v>C</v>
      </c>
      <c r="G32" s="14"/>
      <c r="H32" s="14"/>
      <c r="I32" s="14"/>
      <c r="J32" s="14"/>
      <c r="K32" s="14"/>
      <c r="L32" s="14"/>
      <c r="M32" s="2"/>
      <c r="N32" s="5" t="str">
        <f>"Insert into  acc_journalvoucdtls  select  jvcode ='" &amp;A32&amp;"', jv_account  ='" &amp;B32&amp;"',jv_jobno ='011082000000001',jv_trn ='"&amp;F32&amp;"',jv_debit =" &amp;D32&amp;",jv_credit =" &amp;E32&amp;",jv_narr ='',jv_InvoiceNo ='',entrytype ='GR',ITEMCODE ='',DeptId =73"</f>
        <v>Insert into  acc_journalvoucdtls  select  jvcode ='011082503316010', jv_account  ='G100220',jv_jobno ='011082000000001',jv_trn ='C',jv_debit =0,jv_credit =38460,jv_narr ='',jv_InvoiceNo ='',entrytype ='GR',ITEMCODE ='',DeptId =73</v>
      </c>
    </row>
    <row r="33" spans="1:14" x14ac:dyDescent="0.35">
      <c r="A33" s="10" t="s">
        <v>94</v>
      </c>
      <c r="B33" s="11" t="s">
        <v>40</v>
      </c>
      <c r="C33" s="12" t="s">
        <v>41</v>
      </c>
      <c r="D33" s="13">
        <v>0</v>
      </c>
      <c r="E33" s="13">
        <v>25660</v>
      </c>
      <c r="F33" s="14" t="str">
        <f t="shared" si="0"/>
        <v>C</v>
      </c>
      <c r="G33" s="14"/>
      <c r="H33" s="14"/>
      <c r="I33" s="14"/>
      <c r="J33" s="14"/>
      <c r="K33" s="14"/>
      <c r="L33" s="14"/>
      <c r="M33" s="2"/>
      <c r="N33" s="5" t="str">
        <f>"Insert into  acc_journalvoucdtls  select  jvcode ='" &amp;A33&amp;"', jv_account  ='" &amp;B33&amp;"',jv_jobno ='011082000000001',jv_trn ='"&amp;F33&amp;"',jv_debit =" &amp;D33&amp;",jv_credit =" &amp;E33&amp;",jv_narr ='',jv_InvoiceNo ='',entrytype ='GR',ITEMCODE ='',DeptId =73"</f>
        <v>Insert into  acc_journalvoucdtls  select  jvcode ='011082503316010', jv_account  ='G100225',jv_jobno ='011082000000001',jv_trn ='C',jv_debit =0,jv_credit =25660,jv_narr ='',jv_InvoiceNo ='',entrytype ='GR',ITEMCODE ='',DeptId =73</v>
      </c>
    </row>
    <row r="34" spans="1:14" x14ac:dyDescent="0.35">
      <c r="A34" s="10" t="s">
        <v>94</v>
      </c>
      <c r="B34" s="11" t="s">
        <v>32</v>
      </c>
      <c r="C34" s="12" t="s">
        <v>33</v>
      </c>
      <c r="D34" s="13">
        <v>0</v>
      </c>
      <c r="E34" s="13">
        <v>21988.62</v>
      </c>
      <c r="F34" s="14" t="str">
        <f t="shared" si="0"/>
        <v>C</v>
      </c>
      <c r="G34" s="14"/>
      <c r="H34" s="14"/>
      <c r="I34" s="14"/>
      <c r="J34" s="14"/>
      <c r="K34" s="14"/>
      <c r="L34" s="14"/>
      <c r="M34" s="2"/>
      <c r="N34" s="5" t="str">
        <f>"Insert into  acc_journalvoucdtls  select  jvcode ='" &amp;A34&amp;"', jv_account  ='" &amp;B34&amp;"',jv_jobno ='011082000000001',jv_trn ='"&amp;F34&amp;"',jv_debit =" &amp;D34&amp;",jv_credit =" &amp;E34&amp;",jv_narr ='',jv_InvoiceNo ='',entrytype ='GR',ITEMCODE ='',DeptId =73"</f>
        <v>Insert into  acc_journalvoucdtls  select  jvcode ='011082503316010', jv_account  ='G100229',jv_jobno ='011082000000001',jv_trn ='C',jv_debit =0,jv_credit =21988.62,jv_narr ='',jv_InvoiceNo ='',entrytype ='GR',ITEMCODE ='',DeptId =73</v>
      </c>
    </row>
    <row r="35" spans="1:14" x14ac:dyDescent="0.35">
      <c r="A35" s="10" t="s">
        <v>94</v>
      </c>
      <c r="B35" s="11" t="s">
        <v>34</v>
      </c>
      <c r="C35" s="12" t="s">
        <v>35</v>
      </c>
      <c r="D35" s="13">
        <v>0</v>
      </c>
      <c r="E35" s="13">
        <v>17516</v>
      </c>
      <c r="F35" s="14" t="str">
        <f t="shared" si="0"/>
        <v>C</v>
      </c>
      <c r="G35" s="14"/>
      <c r="H35" s="14"/>
      <c r="I35" s="14"/>
      <c r="J35" s="14"/>
      <c r="K35" s="14"/>
      <c r="L35" s="14"/>
      <c r="M35" s="2"/>
      <c r="N35" s="5" t="str">
        <f>"Insert into  acc_journalvoucdtls  select  jvcode ='" &amp;A35&amp;"', jv_account  ='" &amp;B35&amp;"',jv_jobno ='011082000000001',jv_trn ='"&amp;F35&amp;"',jv_debit =" &amp;D35&amp;",jv_credit =" &amp;E35&amp;",jv_narr ='',jv_InvoiceNo ='',entrytype ='GR',ITEMCODE ='',DeptId =73"</f>
        <v>Insert into  acc_journalvoucdtls  select  jvcode ='011082503316010', jv_account  ='G100232',jv_jobno ='011082000000001',jv_trn ='C',jv_debit =0,jv_credit =17516,jv_narr ='',jv_InvoiceNo ='',entrytype ='GR',ITEMCODE ='',DeptId =73</v>
      </c>
    </row>
    <row r="36" spans="1:14" x14ac:dyDescent="0.35">
      <c r="A36" s="10" t="s">
        <v>94</v>
      </c>
      <c r="B36" s="11" t="s">
        <v>36</v>
      </c>
      <c r="C36" s="12" t="s">
        <v>37</v>
      </c>
      <c r="D36" s="13">
        <v>0</v>
      </c>
      <c r="E36" s="13">
        <v>2700</v>
      </c>
      <c r="F36" s="14" t="str">
        <f t="shared" si="0"/>
        <v>C</v>
      </c>
      <c r="G36" s="14"/>
      <c r="H36" s="14"/>
      <c r="I36" s="14"/>
      <c r="J36" s="14"/>
      <c r="K36" s="14"/>
      <c r="L36" s="14"/>
      <c r="M36" s="2"/>
      <c r="N36" s="5" t="str">
        <f>"Insert into  acc_journalvoucdtls  select  jvcode ='" &amp;A36&amp;"', jv_account  ='" &amp;B36&amp;"',jv_jobno ='011082000000001',jv_trn ='"&amp;F36&amp;"',jv_debit =" &amp;D36&amp;",jv_credit =" &amp;E36&amp;",jv_narr ='',jv_InvoiceNo ='',entrytype ='GR',ITEMCODE ='',DeptId =73"</f>
        <v>Insert into  acc_journalvoucdtls  select  jvcode ='011082503316010', jv_account  ='G101583',jv_jobno ='011082000000001',jv_trn ='C',jv_debit =0,jv_credit =2700,jv_narr ='',jv_InvoiceNo ='',entrytype ='GR',ITEMCODE ='',DeptId =73</v>
      </c>
    </row>
    <row r="37" spans="1:14" x14ac:dyDescent="0.35">
      <c r="A37" s="10" t="s">
        <v>94</v>
      </c>
      <c r="B37" s="11" t="s">
        <v>46</v>
      </c>
      <c r="C37" s="12" t="s">
        <v>47</v>
      </c>
      <c r="D37" s="13">
        <v>0</v>
      </c>
      <c r="E37" s="13">
        <v>21882</v>
      </c>
      <c r="F37" s="14" t="str">
        <f t="shared" si="0"/>
        <v>C</v>
      </c>
      <c r="G37" s="14"/>
      <c r="H37" s="14"/>
      <c r="I37" s="14"/>
      <c r="J37" s="14"/>
      <c r="K37" s="14"/>
      <c r="L37" s="14"/>
      <c r="M37" s="2"/>
      <c r="N37" s="5" t="str">
        <f>"Insert into  acc_journalvoucdtls  select  jvcode ='" &amp;A37&amp;"', jv_account  ='" &amp;B37&amp;"',jv_jobno ='011082000000001',jv_trn ='"&amp;F37&amp;"',jv_debit =" &amp;D37&amp;",jv_credit =" &amp;E37&amp;",jv_narr ='',jv_InvoiceNo ='',entrytype ='GR',ITEMCODE ='',DeptId =73"</f>
        <v>Insert into  acc_journalvoucdtls  select  jvcode ='011082503316010', jv_account  ='G100199',jv_jobno ='011082000000001',jv_trn ='C',jv_debit =0,jv_credit =21882,jv_narr ='',jv_InvoiceNo ='',entrytype ='GR',ITEMCODE ='',DeptId =73</v>
      </c>
    </row>
    <row r="38" spans="1:14" x14ac:dyDescent="0.35">
      <c r="A38" s="10" t="s">
        <v>94</v>
      </c>
      <c r="B38" s="11" t="s">
        <v>48</v>
      </c>
      <c r="C38" s="12" t="s">
        <v>49</v>
      </c>
      <c r="D38" s="13">
        <v>0</v>
      </c>
      <c r="E38" s="13">
        <v>212025</v>
      </c>
      <c r="F38" s="14" t="str">
        <f t="shared" si="0"/>
        <v>C</v>
      </c>
      <c r="G38" s="14"/>
      <c r="H38" s="14"/>
      <c r="I38" s="14"/>
      <c r="J38" s="14"/>
      <c r="K38" s="14"/>
      <c r="L38" s="14"/>
      <c r="M38" s="2"/>
      <c r="N38" s="5" t="str">
        <f>"Insert into  acc_journalvoucdtls  select  jvcode ='" &amp;A38&amp;"', jv_account  ='" &amp;B38&amp;"',jv_jobno ='011082000000001',jv_trn ='"&amp;F38&amp;"',jv_debit =" &amp;D38&amp;",jv_credit =" &amp;E38&amp;",jv_narr ='',jv_InvoiceNo ='',entrytype ='GR',ITEMCODE ='',DeptId =73"</f>
        <v>Insert into  acc_journalvoucdtls  select  jvcode ='011082503316010', jv_account  ='G100200',jv_jobno ='011082000000001',jv_trn ='C',jv_debit =0,jv_credit =212025,jv_narr ='',jv_InvoiceNo ='',entrytype ='GR',ITEMCODE ='',DeptId =73</v>
      </c>
    </row>
    <row r="39" spans="1:14" x14ac:dyDescent="0.35">
      <c r="A39" s="10" t="s">
        <v>94</v>
      </c>
      <c r="B39" s="11" t="s">
        <v>50</v>
      </c>
      <c r="C39" s="12" t="s">
        <v>51</v>
      </c>
      <c r="D39" s="13">
        <v>0</v>
      </c>
      <c r="E39" s="13">
        <v>216000</v>
      </c>
      <c r="F39" s="14" t="str">
        <f t="shared" si="0"/>
        <v>C</v>
      </c>
      <c r="G39" s="14"/>
      <c r="H39" s="14"/>
      <c r="I39" s="14"/>
      <c r="J39" s="14"/>
      <c r="K39" s="14"/>
      <c r="L39" s="14"/>
      <c r="M39" s="2"/>
      <c r="N39" s="5" t="str">
        <f>"Insert into  acc_journalvoucdtls  select  jvcode ='" &amp;A39&amp;"', jv_account  ='" &amp;B39&amp;"',jv_jobno ='011082000000001',jv_trn ='"&amp;F39&amp;"',jv_debit =" &amp;D39&amp;",jv_credit =" &amp;E39&amp;",jv_narr ='',jv_InvoiceNo ='',entrytype ='GR',ITEMCODE ='',DeptId =73"</f>
        <v>Insert into  acc_journalvoucdtls  select  jvcode ='011082503316010', jv_account  ='G100201',jv_jobno ='011082000000001',jv_trn ='C',jv_debit =0,jv_credit =216000,jv_narr ='',jv_InvoiceNo ='',entrytype ='GR',ITEMCODE ='',DeptId =73</v>
      </c>
    </row>
    <row r="40" spans="1:14" x14ac:dyDescent="0.35">
      <c r="A40" s="10" t="s">
        <v>94</v>
      </c>
      <c r="B40" s="11" t="s">
        <v>52</v>
      </c>
      <c r="C40" s="12" t="s">
        <v>53</v>
      </c>
      <c r="D40" s="13">
        <v>0</v>
      </c>
      <c r="E40" s="13">
        <v>1104</v>
      </c>
      <c r="F40" s="14" t="str">
        <f t="shared" si="0"/>
        <v>C</v>
      </c>
      <c r="G40" s="14"/>
      <c r="H40" s="14"/>
      <c r="I40" s="14"/>
      <c r="J40" s="14"/>
      <c r="K40" s="14"/>
      <c r="L40" s="14"/>
      <c r="M40" s="2"/>
      <c r="N40" s="5" t="str">
        <f>"Insert into  acc_journalvoucdtls  select  jvcode ='" &amp;A40&amp;"', jv_account  ='" &amp;B40&amp;"',jv_jobno ='011082000000001',jv_trn ='"&amp;F40&amp;"',jv_debit =" &amp;D40&amp;",jv_credit =" &amp;E40&amp;",jv_narr ='',jv_InvoiceNo ='',entrytype ='GR',ITEMCODE ='',DeptId =73"</f>
        <v>Insert into  acc_journalvoucdtls  select  jvcode ='011082503316010', jv_account  ='G100204',jv_jobno ='011082000000001',jv_trn ='C',jv_debit =0,jv_credit =1104,jv_narr ='',jv_InvoiceNo ='',entrytype ='GR',ITEMCODE ='',DeptId =73</v>
      </c>
    </row>
    <row r="41" spans="1:14" x14ac:dyDescent="0.35">
      <c r="A41" s="10" t="s">
        <v>94</v>
      </c>
      <c r="B41" s="11" t="s">
        <v>42</v>
      </c>
      <c r="C41" s="12" t="s">
        <v>43</v>
      </c>
      <c r="D41" s="13">
        <v>0</v>
      </c>
      <c r="E41" s="13">
        <v>15340.89</v>
      </c>
      <c r="F41" s="14" t="str">
        <f t="shared" si="0"/>
        <v>C</v>
      </c>
      <c r="G41" s="14"/>
      <c r="H41" s="14"/>
      <c r="I41" s="14"/>
      <c r="J41" s="14"/>
      <c r="K41" s="14"/>
      <c r="L41" s="14"/>
      <c r="M41" s="2"/>
      <c r="N41" s="5" t="str">
        <f>"Insert into  acc_journalvoucdtls  select  jvcode ='" &amp;A41&amp;"', jv_account  ='" &amp;B41&amp;"',jv_jobno ='011082000000001',jv_trn ='"&amp;F41&amp;"',jv_debit =" &amp;D41&amp;",jv_credit =" &amp;E41&amp;",jv_narr ='',jv_InvoiceNo ='',entrytype ='GR',ITEMCODE ='',DeptId =73"</f>
        <v>Insert into  acc_journalvoucdtls  select  jvcode ='011082503316010', jv_account  ='G100208',jv_jobno ='011082000000001',jv_trn ='C',jv_debit =0,jv_credit =15340.89,jv_narr ='',jv_InvoiceNo ='',entrytype ='GR',ITEMCODE ='',DeptId =73</v>
      </c>
    </row>
    <row r="42" spans="1:14" x14ac:dyDescent="0.35">
      <c r="A42" s="10" t="s">
        <v>94</v>
      </c>
      <c r="B42" s="11" t="s">
        <v>44</v>
      </c>
      <c r="C42" s="12" t="s">
        <v>45</v>
      </c>
      <c r="D42" s="13">
        <v>0</v>
      </c>
      <c r="E42" s="13">
        <v>13200</v>
      </c>
      <c r="F42" s="14" t="str">
        <f t="shared" si="0"/>
        <v>C</v>
      </c>
      <c r="G42" s="14"/>
      <c r="H42" s="14"/>
      <c r="I42" s="14"/>
      <c r="J42" s="14"/>
      <c r="K42" s="14"/>
      <c r="L42" s="14"/>
      <c r="M42" s="2"/>
      <c r="N42" s="5" t="str">
        <f>"Insert into  acc_journalvoucdtls  select  jvcode ='" &amp;A42&amp;"', jv_account  ='" &amp;B42&amp;"',jv_jobno ='011082000000001',jv_trn ='"&amp;F42&amp;"',jv_debit =" &amp;D42&amp;",jv_credit =" &amp;E42&amp;",jv_narr ='',jv_InvoiceNo ='',entrytype ='GR',ITEMCODE ='',DeptId =73"</f>
        <v>Insert into  acc_journalvoucdtls  select  jvcode ='011082503316010', jv_account  ='G100210',jv_jobno ='011082000000001',jv_trn ='C',jv_debit =0,jv_credit =13200,jv_narr ='',jv_InvoiceNo ='',entrytype ='GR',ITEMCODE ='',DeptId =73</v>
      </c>
    </row>
    <row r="43" spans="1:14" x14ac:dyDescent="0.35">
      <c r="A43" s="10" t="s">
        <v>94</v>
      </c>
      <c r="B43" s="11" t="s">
        <v>108</v>
      </c>
      <c r="C43" s="12" t="s">
        <v>109</v>
      </c>
      <c r="D43" s="13">
        <v>0</v>
      </c>
      <c r="E43" s="13">
        <v>108660</v>
      </c>
      <c r="F43" s="14" t="str">
        <f t="shared" si="0"/>
        <v>C</v>
      </c>
      <c r="G43" s="14"/>
      <c r="H43" s="14"/>
      <c r="I43" s="14"/>
      <c r="J43" s="14"/>
      <c r="K43" s="14"/>
      <c r="L43" s="14"/>
      <c r="M43" s="2"/>
      <c r="N43" s="5" t="str">
        <f>"Insert into  acc_journalvoucdtls  select  jvcode ='" &amp;A43&amp;"', jv_account  ='" &amp;B43&amp;"',jv_jobno ='011082000000001',jv_trn ='"&amp;F43&amp;"',jv_debit =" &amp;D43&amp;",jv_credit =" &amp;E43&amp;",jv_narr ='',jv_InvoiceNo ='',entrytype ='GR',ITEMCODE ='',DeptId =73"</f>
        <v>Insert into  acc_journalvoucdtls  select  jvcode ='011082503316010', jv_account  ='G100166',jv_jobno ='011082000000001',jv_trn ='C',jv_debit =0,jv_credit =108660,jv_narr ='',jv_InvoiceNo ='',entrytype ='GR',ITEMCODE ='',DeptId =73</v>
      </c>
    </row>
    <row r="44" spans="1:14" x14ac:dyDescent="0.35">
      <c r="A44" s="10" t="s">
        <v>94</v>
      </c>
      <c r="B44" s="11" t="s">
        <v>60</v>
      </c>
      <c r="C44" s="12" t="s">
        <v>61</v>
      </c>
      <c r="D44" s="13">
        <v>0</v>
      </c>
      <c r="E44" s="13">
        <v>38107.65</v>
      </c>
      <c r="F44" s="14" t="str">
        <f t="shared" si="0"/>
        <v>C</v>
      </c>
      <c r="G44" s="14"/>
      <c r="H44" s="14"/>
      <c r="I44" s="14"/>
      <c r="J44" s="14"/>
      <c r="K44" s="14"/>
      <c r="L44" s="14"/>
      <c r="M44" s="2"/>
      <c r="N44" s="5" t="str">
        <f>"Insert into  acc_journalvoucdtls  select  jvcode ='" &amp;A44&amp;"', jv_account  ='" &amp;B44&amp;"',jv_jobno ='011082000000001',jv_trn ='"&amp;F44&amp;"',jv_debit =" &amp;D44&amp;",jv_credit =" &amp;E44&amp;",jv_narr ='',jv_InvoiceNo ='',entrytype ='GR',ITEMCODE ='',DeptId =73"</f>
        <v>Insert into  acc_journalvoucdtls  select  jvcode ='011082503316010', jv_account  ='G100167',jv_jobno ='011082000000001',jv_trn ='C',jv_debit =0,jv_credit =38107.65,jv_narr ='',jv_InvoiceNo ='',entrytype ='GR',ITEMCODE ='',DeptId =73</v>
      </c>
    </row>
    <row r="45" spans="1:14" x14ac:dyDescent="0.35">
      <c r="A45" s="10" t="s">
        <v>94</v>
      </c>
      <c r="B45" s="11" t="s">
        <v>62</v>
      </c>
      <c r="C45" s="12" t="s">
        <v>63</v>
      </c>
      <c r="D45" s="13">
        <v>0</v>
      </c>
      <c r="E45" s="13">
        <v>116400</v>
      </c>
      <c r="F45" s="14" t="str">
        <f t="shared" si="0"/>
        <v>C</v>
      </c>
      <c r="G45" s="14"/>
      <c r="H45" s="14"/>
      <c r="I45" s="14"/>
      <c r="J45" s="14"/>
      <c r="K45" s="14"/>
      <c r="L45" s="14"/>
      <c r="M45" s="2"/>
      <c r="N45" s="5" t="str">
        <f>"Insert into  acc_journalvoucdtls  select  jvcode ='" &amp;A45&amp;"', jv_account  ='" &amp;B45&amp;"',jv_jobno ='011082000000001',jv_trn ='"&amp;F45&amp;"',jv_debit =" &amp;D45&amp;",jv_credit =" &amp;E45&amp;",jv_narr ='',jv_InvoiceNo ='',entrytype ='GR',ITEMCODE ='',DeptId =73"</f>
        <v>Insert into  acc_journalvoucdtls  select  jvcode ='011082503316010', jv_account  ='G100170',jv_jobno ='011082000000001',jv_trn ='C',jv_debit =0,jv_credit =116400,jv_narr ='',jv_InvoiceNo ='',entrytype ='GR',ITEMCODE ='',DeptId =73</v>
      </c>
    </row>
    <row r="46" spans="1:14" x14ac:dyDescent="0.35">
      <c r="A46" s="10" t="s">
        <v>94</v>
      </c>
      <c r="B46" s="16" t="s">
        <v>56</v>
      </c>
      <c r="C46" s="17" t="s">
        <v>57</v>
      </c>
      <c r="D46" s="13">
        <v>0</v>
      </c>
      <c r="E46" s="18">
        <v>30000</v>
      </c>
      <c r="F46" s="14" t="str">
        <f t="shared" si="0"/>
        <v>C</v>
      </c>
      <c r="G46" s="14"/>
      <c r="H46" s="14"/>
      <c r="I46" s="14"/>
      <c r="J46" s="14"/>
      <c r="K46" s="14"/>
      <c r="L46" s="14"/>
      <c r="M46" s="2"/>
      <c r="N46" s="5" t="str">
        <f>"Insert into  acc_journalvoucdtls  select  jvcode ='" &amp;A46&amp;"', jv_account  ='" &amp;B46&amp;"',jv_jobno ='011082000000001',jv_trn ='"&amp;F46&amp;"',jv_debit =" &amp;D46&amp;",jv_credit =" &amp;E46&amp;",jv_narr ='',jv_InvoiceNo ='',entrytype ='GR',ITEMCODE ='',DeptId =73"</f>
        <v>Insert into  acc_journalvoucdtls  select  jvcode ='011082503316010', jv_account  ='G100185',jv_jobno ='011082000000001',jv_trn ='C',jv_debit =0,jv_credit =30000,jv_narr ='',jv_InvoiceNo ='',entrytype ='GR',ITEMCODE ='',DeptId =73</v>
      </c>
    </row>
    <row r="47" spans="1:14" x14ac:dyDescent="0.35">
      <c r="A47" s="10" t="s">
        <v>94</v>
      </c>
      <c r="B47" s="11" t="s">
        <v>54</v>
      </c>
      <c r="C47" s="12" t="s">
        <v>55</v>
      </c>
      <c r="D47" s="13">
        <v>0</v>
      </c>
      <c r="E47" s="13">
        <v>191436</v>
      </c>
      <c r="F47" s="14" t="str">
        <f t="shared" si="0"/>
        <v>C</v>
      </c>
      <c r="G47" s="14"/>
      <c r="H47" s="14"/>
      <c r="I47" s="14"/>
      <c r="J47" s="14"/>
      <c r="K47" s="14"/>
      <c r="L47" s="14"/>
      <c r="M47" s="2"/>
      <c r="N47" s="5" t="str">
        <f>"Insert into  acc_journalvoucdtls  select  jvcode ='" &amp;A47&amp;"', jv_account  ='" &amp;B47&amp;"',jv_jobno ='011082000000001',jv_trn ='"&amp;F47&amp;"',jv_debit =" &amp;D47&amp;",jv_credit =" &amp;E47&amp;",jv_narr ='',jv_InvoiceNo ='',entrytype ='GR',ITEMCODE ='',DeptId =73"</f>
        <v>Insert into  acc_journalvoucdtls  select  jvcode ='011082503316010', jv_account  ='G100191',jv_jobno ='011082000000001',jv_trn ='C',jv_debit =0,jv_credit =191436,jv_narr ='',jv_InvoiceNo ='',entrytype ='GR',ITEMCODE ='',DeptId =73</v>
      </c>
    </row>
    <row r="48" spans="1:14" x14ac:dyDescent="0.35">
      <c r="A48" s="10" t="s">
        <v>94</v>
      </c>
      <c r="B48" s="19" t="s">
        <v>92</v>
      </c>
      <c r="C48" s="20" t="s">
        <v>93</v>
      </c>
      <c r="D48" s="13">
        <v>0</v>
      </c>
      <c r="E48" s="21">
        <v>7093079.8499999996</v>
      </c>
      <c r="F48" s="14" t="str">
        <f t="shared" si="0"/>
        <v>C</v>
      </c>
      <c r="G48" s="14"/>
      <c r="H48" s="14"/>
      <c r="I48" s="14"/>
      <c r="J48" s="14"/>
      <c r="K48" s="14"/>
      <c r="L48" s="14"/>
      <c r="M48" s="2"/>
      <c r="N48" s="5" t="str">
        <f>"Insert into  acc_journalvoucdtls  select  jvcode ='" &amp;A48&amp;"', jv_account  ='" &amp;B48&amp;"',jv_jobno ='011082000000001',jv_trn ='"&amp;F48&amp;"',jv_debit =" &amp;D48&amp;",jv_credit =" &amp;E48&amp;",jv_narr ='',jv_InvoiceNo ='',entrytype ='GR',ITEMCODE ='',DeptId =73"</f>
        <v>Insert into  acc_journalvoucdtls  select  jvcode ='011082503316010', jv_account  ='G100209',jv_jobno ='011082000000001',jv_trn ='C',jv_debit =0,jv_credit =7093079.85,jv_narr ='',jv_InvoiceNo ='',entrytype ='GR',ITEMCODE ='',DeptId =73</v>
      </c>
    </row>
    <row r="50" spans="4:5" x14ac:dyDescent="0.35">
      <c r="D50" s="3">
        <f>SUM(D2:D48)</f>
        <v>27564169.409999996</v>
      </c>
      <c r="E50" s="3">
        <f>SUM(E2:E48)</f>
        <v>27564169.409999996</v>
      </c>
    </row>
    <row r="51" spans="4:5" x14ac:dyDescent="0.35">
      <c r="D51" s="3"/>
      <c r="E51" s="3">
        <f>E50-D50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PDG.MP SUJIT</dc:creator>
  <cp:lastModifiedBy>PDG.MP SUJIT</cp:lastModifiedBy>
  <dcterms:created xsi:type="dcterms:W3CDTF">2026-08-15T19:54:22Z</dcterms:created>
  <dcterms:modified xsi:type="dcterms:W3CDTF">2026-08-15T20:08:59Z</dcterms:modified>
</cp:coreProperties>
</file>