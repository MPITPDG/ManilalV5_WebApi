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DGMP\Downloads\"/>
    </mc:Choice>
  </mc:AlternateContent>
  <bookViews>
    <workbookView xWindow="0" yWindow="0" windowWidth="28800" windowHeight="12180"/>
  </bookViews>
  <sheets>
    <sheet name="JVLines" sheetId="1" r:id="rId1"/>
    <sheet name="Instructions" sheetId="2" r:id="rId2"/>
    <sheet name="AccountList" sheetId="3" r:id="rId3"/>
    <sheet name="Masters" sheetId="4" state="hidden" r:id="rId4"/>
  </sheets>
  <definedNames>
    <definedName name="_xlnm._FilterDatabase" localSheetId="2" hidden="1">AccountList!$A$3:$C$1345</definedName>
    <definedName name="_xlnm._FilterDatabase" localSheetId="0" hidden="1">JVLines!$A$1:$J$500</definedName>
    <definedName name="AccountCode">AccountList!$A$4:$A$1345</definedName>
    <definedName name="AccountName">AccountList!$B$4:$B$1345</definedName>
    <definedName name="DeptPick">AccountList!$H$4:$H$45</definedName>
    <definedName name="ITM__NONE">Masters!$A$2</definedName>
    <definedName name="ITM_G100199">Masters!$B$2:$B$45</definedName>
    <definedName name="ITM_G100215">Masters!$C$2:$C$23</definedName>
    <definedName name="ITM_G100220">Masters!$D$2:$D$9</definedName>
    <definedName name="ITM_G100229">Masters!$E$2:$E$179</definedName>
    <definedName name="ITM_G100233">Masters!$F$2:$F$10</definedName>
    <definedName name="ITM_G100234">Masters!$G$2:$G$12</definedName>
    <definedName name="ITM_G100741">Masters!$H$2:$H$8</definedName>
    <definedName name="ITM_G100902">Masters!$I$2:$I$2</definedName>
    <definedName name="ITM_G101119">Masters!$J$2:$J$193</definedName>
    <definedName name="ITM_G101140">Masters!$K$2:$K$7</definedName>
    <definedName name="ITM_G101896">Masters!$L$2:$L$29</definedName>
    <definedName name="TypePick">AccountList!$K$4:$K$8</definedName>
  </definedNames>
  <calcPr calcId="162913"/>
</workbook>
</file>

<file path=xl/calcChain.xml><?xml version="1.0" encoding="utf-8"?>
<calcChain xmlns="http://schemas.openxmlformats.org/spreadsheetml/2006/main">
  <c r="N1345" i="3" l="1"/>
  <c r="N1344" i="3"/>
  <c r="N1343" i="3"/>
  <c r="N1342" i="3"/>
  <c r="N1341" i="3"/>
  <c r="N1340" i="3"/>
  <c r="N1339" i="3"/>
  <c r="N1338" i="3"/>
  <c r="N1337" i="3"/>
  <c r="N1336" i="3"/>
  <c r="N1335" i="3"/>
  <c r="N1334" i="3"/>
  <c r="N1333" i="3"/>
  <c r="N1332" i="3"/>
  <c r="N1331" i="3"/>
  <c r="N1330" i="3"/>
  <c r="N1329" i="3"/>
  <c r="N1328" i="3"/>
  <c r="N1327" i="3"/>
  <c r="N1326" i="3"/>
  <c r="N1325" i="3"/>
  <c r="N1324" i="3"/>
  <c r="N1323" i="3"/>
  <c r="N1322" i="3"/>
  <c r="N1321" i="3"/>
  <c r="N1320" i="3"/>
  <c r="N1319" i="3"/>
  <c r="N1318" i="3"/>
  <c r="N1317" i="3"/>
  <c r="N1316" i="3"/>
  <c r="N1315" i="3"/>
  <c r="N1314" i="3"/>
  <c r="N1313" i="3"/>
  <c r="N1312" i="3"/>
  <c r="N1311" i="3"/>
  <c r="N1310" i="3"/>
  <c r="N1309" i="3"/>
  <c r="N1308" i="3"/>
  <c r="N1307" i="3"/>
  <c r="N1306" i="3"/>
  <c r="N1305" i="3"/>
  <c r="N1304" i="3"/>
  <c r="N1303" i="3"/>
  <c r="N1302" i="3"/>
  <c r="N1301" i="3"/>
  <c r="N1300" i="3"/>
  <c r="N1299" i="3"/>
  <c r="N1298" i="3"/>
  <c r="N1297" i="3"/>
  <c r="N1296" i="3"/>
  <c r="N1295" i="3"/>
  <c r="N1294" i="3"/>
  <c r="N1293" i="3"/>
  <c r="N1292" i="3"/>
  <c r="N1291" i="3"/>
  <c r="N1290" i="3"/>
  <c r="N1289" i="3"/>
  <c r="N1288" i="3"/>
  <c r="N1287" i="3"/>
  <c r="N1286" i="3"/>
  <c r="N1285" i="3"/>
  <c r="N1284" i="3"/>
  <c r="N1283" i="3"/>
  <c r="N1282" i="3"/>
  <c r="N1281" i="3"/>
  <c r="N1280" i="3"/>
  <c r="N1279" i="3"/>
  <c r="N1278" i="3"/>
  <c r="N1277" i="3"/>
  <c r="N1276" i="3"/>
  <c r="N1275" i="3"/>
  <c r="N1274" i="3"/>
  <c r="N1273" i="3"/>
  <c r="N1272" i="3"/>
  <c r="N1271" i="3"/>
  <c r="N1270" i="3"/>
  <c r="N1269" i="3"/>
  <c r="N1268" i="3"/>
  <c r="N1267" i="3"/>
  <c r="N1266" i="3"/>
  <c r="N1265" i="3"/>
  <c r="N1264" i="3"/>
  <c r="N1263" i="3"/>
  <c r="N1262" i="3"/>
  <c r="N1261" i="3"/>
  <c r="N1260" i="3"/>
  <c r="N1259" i="3"/>
  <c r="N1258" i="3"/>
  <c r="N1257" i="3"/>
  <c r="N1256" i="3"/>
  <c r="N1255" i="3"/>
  <c r="N1254" i="3"/>
  <c r="N1253" i="3"/>
  <c r="N1252" i="3"/>
  <c r="N1251" i="3"/>
  <c r="N1250" i="3"/>
  <c r="N1249" i="3"/>
  <c r="N1248" i="3"/>
  <c r="N1247" i="3"/>
  <c r="N1246" i="3"/>
  <c r="N1245" i="3"/>
  <c r="N1244" i="3"/>
  <c r="N1243" i="3"/>
  <c r="N1242" i="3"/>
  <c r="N1241" i="3"/>
  <c r="N1240" i="3"/>
  <c r="N1239" i="3"/>
  <c r="N1238" i="3"/>
  <c r="N1237" i="3"/>
  <c r="N1236" i="3"/>
  <c r="N1235" i="3"/>
  <c r="N1234" i="3"/>
  <c r="N1233" i="3"/>
  <c r="N1232" i="3"/>
  <c r="N1231" i="3"/>
  <c r="N1230" i="3"/>
  <c r="N1229" i="3"/>
  <c r="N1228" i="3"/>
  <c r="N1227" i="3"/>
  <c r="N1226" i="3"/>
  <c r="N1225" i="3"/>
  <c r="N1224" i="3"/>
  <c r="N1223" i="3"/>
  <c r="N1222" i="3"/>
  <c r="N1221" i="3"/>
  <c r="N1220" i="3"/>
  <c r="N1219" i="3"/>
  <c r="N1218" i="3"/>
  <c r="N1217" i="3"/>
  <c r="N1216" i="3"/>
  <c r="N1215" i="3"/>
  <c r="N1214" i="3"/>
  <c r="N1213" i="3"/>
  <c r="N1212" i="3"/>
  <c r="N1211" i="3"/>
  <c r="N1210" i="3"/>
  <c r="N1209" i="3"/>
  <c r="N1208" i="3"/>
  <c r="N1207" i="3"/>
  <c r="N1206" i="3"/>
  <c r="N1205" i="3"/>
  <c r="N1204" i="3"/>
  <c r="N1203" i="3"/>
  <c r="N1202" i="3"/>
  <c r="N1201" i="3"/>
  <c r="N1200" i="3"/>
  <c r="N1199" i="3"/>
  <c r="N1198" i="3"/>
  <c r="N1197" i="3"/>
  <c r="N1196" i="3"/>
  <c r="N1195" i="3"/>
  <c r="N1194" i="3"/>
  <c r="N1193" i="3"/>
  <c r="N1192" i="3"/>
  <c r="N1191" i="3"/>
  <c r="N1190" i="3"/>
  <c r="N1189" i="3"/>
  <c r="N1188" i="3"/>
  <c r="N1187" i="3"/>
  <c r="N1186" i="3"/>
  <c r="N1185" i="3"/>
  <c r="N1184" i="3"/>
  <c r="N1183" i="3"/>
  <c r="N1182" i="3"/>
  <c r="N1181" i="3"/>
  <c r="N1180" i="3"/>
  <c r="N1179" i="3"/>
  <c r="N1178" i="3"/>
  <c r="N1177" i="3"/>
  <c r="N1176" i="3"/>
  <c r="N1175" i="3"/>
  <c r="N1174" i="3"/>
  <c r="N1173" i="3"/>
  <c r="N1172" i="3"/>
  <c r="N1171" i="3"/>
  <c r="N1170" i="3"/>
  <c r="N1169" i="3"/>
  <c r="N1168" i="3"/>
  <c r="N1167" i="3"/>
  <c r="N1166" i="3"/>
  <c r="N1165" i="3"/>
  <c r="N1164" i="3"/>
  <c r="N1163" i="3"/>
  <c r="N1162" i="3"/>
  <c r="N1161" i="3"/>
  <c r="N1160" i="3"/>
  <c r="N1159" i="3"/>
  <c r="N1158" i="3"/>
  <c r="N1157" i="3"/>
  <c r="N1156" i="3"/>
  <c r="N1155" i="3"/>
  <c r="N1154" i="3"/>
  <c r="N1153" i="3"/>
  <c r="N1152" i="3"/>
  <c r="N1151" i="3"/>
  <c r="N1150" i="3"/>
  <c r="N1149" i="3"/>
  <c r="N1148" i="3"/>
  <c r="N1147" i="3"/>
  <c r="N1146" i="3"/>
  <c r="N1145" i="3"/>
  <c r="N1144" i="3"/>
  <c r="N1143" i="3"/>
  <c r="N1142" i="3"/>
  <c r="N1141" i="3"/>
  <c r="N1140" i="3"/>
  <c r="N1139" i="3"/>
  <c r="N1138" i="3"/>
  <c r="N1137" i="3"/>
  <c r="N1136" i="3"/>
  <c r="N1135" i="3"/>
  <c r="N1134" i="3"/>
  <c r="N1133" i="3"/>
  <c r="N1132" i="3"/>
  <c r="N1131" i="3"/>
  <c r="N1130" i="3"/>
  <c r="N1129" i="3"/>
  <c r="N1128" i="3"/>
  <c r="N1127" i="3"/>
  <c r="N1126" i="3"/>
  <c r="N1125" i="3"/>
  <c r="N1124" i="3"/>
  <c r="N1123" i="3"/>
  <c r="N1122" i="3"/>
  <c r="N1121" i="3"/>
  <c r="N1120" i="3"/>
  <c r="N1119" i="3"/>
  <c r="N1118" i="3"/>
  <c r="N1117" i="3"/>
  <c r="N1116" i="3"/>
  <c r="N1115" i="3"/>
  <c r="N1114" i="3"/>
  <c r="N1113" i="3"/>
  <c r="N1112" i="3"/>
  <c r="N1111" i="3"/>
  <c r="N1110" i="3"/>
  <c r="N1109" i="3"/>
  <c r="N1108" i="3"/>
  <c r="N1107" i="3"/>
  <c r="N1106" i="3"/>
  <c r="N1105" i="3"/>
  <c r="N1104" i="3"/>
  <c r="N1103" i="3"/>
  <c r="N1102" i="3"/>
  <c r="N1101" i="3"/>
  <c r="N1100" i="3"/>
  <c r="N1099" i="3"/>
  <c r="N1098" i="3"/>
  <c r="N1097" i="3"/>
  <c r="N1096" i="3"/>
  <c r="N1095" i="3"/>
  <c r="N1094" i="3"/>
  <c r="N1093" i="3"/>
  <c r="N1092" i="3"/>
  <c r="N1091" i="3"/>
  <c r="N1090" i="3"/>
  <c r="N1089" i="3"/>
  <c r="N1088" i="3"/>
  <c r="N1087" i="3"/>
  <c r="N1086" i="3"/>
  <c r="N1085" i="3"/>
  <c r="N1084" i="3"/>
  <c r="N1083" i="3"/>
  <c r="N1082" i="3"/>
  <c r="N1081" i="3"/>
  <c r="N1080" i="3"/>
  <c r="N1079" i="3"/>
  <c r="N1078" i="3"/>
  <c r="N1077" i="3"/>
  <c r="N1076" i="3"/>
  <c r="N1075" i="3"/>
  <c r="N1074" i="3"/>
  <c r="N1073" i="3"/>
  <c r="N1072" i="3"/>
  <c r="N1071" i="3"/>
  <c r="N1070" i="3"/>
  <c r="N1069" i="3"/>
  <c r="N1068" i="3"/>
  <c r="N1067" i="3"/>
  <c r="N1066" i="3"/>
  <c r="N1065" i="3"/>
  <c r="N1064" i="3"/>
  <c r="N1063" i="3"/>
  <c r="N1062" i="3"/>
  <c r="N1061" i="3"/>
  <c r="N1060" i="3"/>
  <c r="N1059" i="3"/>
  <c r="N1058" i="3"/>
  <c r="N1057" i="3"/>
  <c r="N1056" i="3"/>
  <c r="N1055" i="3"/>
  <c r="N1054" i="3"/>
  <c r="N1053" i="3"/>
  <c r="N1052" i="3"/>
  <c r="N1051" i="3"/>
  <c r="N1050" i="3"/>
  <c r="N1049" i="3"/>
  <c r="N1048" i="3"/>
  <c r="N1047" i="3"/>
  <c r="N1046" i="3"/>
  <c r="N1045" i="3"/>
  <c r="N1044" i="3"/>
  <c r="N1043" i="3"/>
  <c r="N1042" i="3"/>
  <c r="N1041" i="3"/>
  <c r="N1040" i="3"/>
  <c r="N1039" i="3"/>
  <c r="N1038" i="3"/>
  <c r="N1037" i="3"/>
  <c r="N1036" i="3"/>
  <c r="N1035" i="3"/>
  <c r="N1034" i="3"/>
  <c r="N1033" i="3"/>
  <c r="N1032" i="3"/>
  <c r="N1031" i="3"/>
  <c r="N1030" i="3"/>
  <c r="N1029" i="3"/>
  <c r="N1028" i="3"/>
  <c r="N1027" i="3"/>
  <c r="N1026" i="3"/>
  <c r="N1025" i="3"/>
  <c r="N1024" i="3"/>
  <c r="N1023" i="3"/>
  <c r="N1022" i="3"/>
  <c r="N1021" i="3"/>
  <c r="N1020" i="3"/>
  <c r="N1019" i="3"/>
  <c r="N1018" i="3"/>
  <c r="N1017" i="3"/>
  <c r="N1016" i="3"/>
  <c r="N1015" i="3"/>
  <c r="N1014" i="3"/>
  <c r="N1013" i="3"/>
  <c r="N1012" i="3"/>
  <c r="N1011" i="3"/>
  <c r="N1010" i="3"/>
  <c r="N1009" i="3"/>
  <c r="N1008" i="3"/>
  <c r="N1007" i="3"/>
  <c r="N1006" i="3"/>
  <c r="N1005" i="3"/>
  <c r="N1004" i="3"/>
  <c r="N1003" i="3"/>
  <c r="N1002" i="3"/>
  <c r="N1001" i="3"/>
  <c r="N1000" i="3"/>
  <c r="N999" i="3"/>
  <c r="N998" i="3"/>
  <c r="N997" i="3"/>
  <c r="N996" i="3"/>
  <c r="N995" i="3"/>
  <c r="N994" i="3"/>
  <c r="N993" i="3"/>
  <c r="N992" i="3"/>
  <c r="N991" i="3"/>
  <c r="N990" i="3"/>
  <c r="N989" i="3"/>
  <c r="N988" i="3"/>
  <c r="N987" i="3"/>
  <c r="N986" i="3"/>
  <c r="N985" i="3"/>
  <c r="N984" i="3"/>
  <c r="N983" i="3"/>
  <c r="N982" i="3"/>
  <c r="N981" i="3"/>
  <c r="N980" i="3"/>
  <c r="N979" i="3"/>
  <c r="N978" i="3"/>
  <c r="N977" i="3"/>
  <c r="N976" i="3"/>
  <c r="N975" i="3"/>
  <c r="N974" i="3"/>
  <c r="N973" i="3"/>
  <c r="N972" i="3"/>
  <c r="N971" i="3"/>
  <c r="N970" i="3"/>
  <c r="N969" i="3"/>
  <c r="N968" i="3"/>
  <c r="N967" i="3"/>
  <c r="N966" i="3"/>
  <c r="N965" i="3"/>
  <c r="N964" i="3"/>
  <c r="N963" i="3"/>
  <c r="N962" i="3"/>
  <c r="N961" i="3"/>
  <c r="N960" i="3"/>
  <c r="N959" i="3"/>
  <c r="N958" i="3"/>
  <c r="N957" i="3"/>
  <c r="N956" i="3"/>
  <c r="N955" i="3"/>
  <c r="N954" i="3"/>
  <c r="N953" i="3"/>
  <c r="N952" i="3"/>
  <c r="N951" i="3"/>
  <c r="N950" i="3"/>
  <c r="N949" i="3"/>
  <c r="N948" i="3"/>
  <c r="N947" i="3"/>
  <c r="N946" i="3"/>
  <c r="N945" i="3"/>
  <c r="N944" i="3"/>
  <c r="N943" i="3"/>
  <c r="N942" i="3"/>
  <c r="N941" i="3"/>
  <c r="N940" i="3"/>
  <c r="N939" i="3"/>
  <c r="N938" i="3"/>
  <c r="N937" i="3"/>
  <c r="N936" i="3"/>
  <c r="N935" i="3"/>
  <c r="N934" i="3"/>
  <c r="N933" i="3"/>
  <c r="N932" i="3"/>
  <c r="N931" i="3"/>
  <c r="N930" i="3"/>
  <c r="N929" i="3"/>
  <c r="N928" i="3"/>
  <c r="N927" i="3"/>
  <c r="N926" i="3"/>
  <c r="N925" i="3"/>
  <c r="N924" i="3"/>
  <c r="N923" i="3"/>
  <c r="N922" i="3"/>
  <c r="N921" i="3"/>
  <c r="N920" i="3"/>
  <c r="N919" i="3"/>
  <c r="N918" i="3"/>
  <c r="N917" i="3"/>
  <c r="N916" i="3"/>
  <c r="N915" i="3"/>
  <c r="N914" i="3"/>
  <c r="N913" i="3"/>
  <c r="N912" i="3"/>
  <c r="N911" i="3"/>
  <c r="N910" i="3"/>
  <c r="N909" i="3"/>
  <c r="N908" i="3"/>
  <c r="N907" i="3"/>
  <c r="N906" i="3"/>
  <c r="N905" i="3"/>
  <c r="N904" i="3"/>
  <c r="N903" i="3"/>
  <c r="N902" i="3"/>
  <c r="N901" i="3"/>
  <c r="N900" i="3"/>
  <c r="N899" i="3"/>
  <c r="N898" i="3"/>
  <c r="N897" i="3"/>
  <c r="N896" i="3"/>
  <c r="N895" i="3"/>
  <c r="N894" i="3"/>
  <c r="N893" i="3"/>
  <c r="N892" i="3"/>
  <c r="N891" i="3"/>
  <c r="N890" i="3"/>
  <c r="N889" i="3"/>
  <c r="N888" i="3"/>
  <c r="N887" i="3"/>
  <c r="N886" i="3"/>
  <c r="N885" i="3"/>
  <c r="N884" i="3"/>
  <c r="N883" i="3"/>
  <c r="N882" i="3"/>
  <c r="N881" i="3"/>
  <c r="N880" i="3"/>
  <c r="N879" i="3"/>
  <c r="N878" i="3"/>
  <c r="N877" i="3"/>
  <c r="N876" i="3"/>
  <c r="N875" i="3"/>
  <c r="N874" i="3"/>
  <c r="N873" i="3"/>
  <c r="N872" i="3"/>
  <c r="N871" i="3"/>
  <c r="N870" i="3"/>
  <c r="N869" i="3"/>
  <c r="N868" i="3"/>
  <c r="N867" i="3"/>
  <c r="N866" i="3"/>
  <c r="N865" i="3"/>
  <c r="N864" i="3"/>
  <c r="N863" i="3"/>
  <c r="N862" i="3"/>
  <c r="N861" i="3"/>
  <c r="N860" i="3"/>
  <c r="N859" i="3"/>
  <c r="N858" i="3"/>
  <c r="N857" i="3"/>
  <c r="N856" i="3"/>
  <c r="N855" i="3"/>
  <c r="N854" i="3"/>
  <c r="N853" i="3"/>
  <c r="N852" i="3"/>
  <c r="N851" i="3"/>
  <c r="N850" i="3"/>
  <c r="N849" i="3"/>
  <c r="N848" i="3"/>
  <c r="N847" i="3"/>
  <c r="N846" i="3"/>
  <c r="N845" i="3"/>
  <c r="N844" i="3"/>
  <c r="N843" i="3"/>
  <c r="N842" i="3"/>
  <c r="N841" i="3"/>
  <c r="N840" i="3"/>
  <c r="N839" i="3"/>
  <c r="N838" i="3"/>
  <c r="N837" i="3"/>
  <c r="N836" i="3"/>
  <c r="N835" i="3"/>
  <c r="N834" i="3"/>
  <c r="N833" i="3"/>
  <c r="N832" i="3"/>
  <c r="N831" i="3"/>
  <c r="N830" i="3"/>
  <c r="N829" i="3"/>
  <c r="N828" i="3"/>
  <c r="N827" i="3"/>
  <c r="N826" i="3"/>
  <c r="N825" i="3"/>
  <c r="N824" i="3"/>
  <c r="N823" i="3"/>
  <c r="N822" i="3"/>
  <c r="N821" i="3"/>
  <c r="N820" i="3"/>
  <c r="N819" i="3"/>
  <c r="N818" i="3"/>
  <c r="N817" i="3"/>
  <c r="N816" i="3"/>
  <c r="N815" i="3"/>
  <c r="N814" i="3"/>
  <c r="N813" i="3"/>
  <c r="N812" i="3"/>
  <c r="N811" i="3"/>
  <c r="N810" i="3"/>
  <c r="N809" i="3"/>
  <c r="N808" i="3"/>
  <c r="N807" i="3"/>
  <c r="N806" i="3"/>
  <c r="N805" i="3"/>
  <c r="N804" i="3"/>
  <c r="N803" i="3"/>
  <c r="N802" i="3"/>
  <c r="N801" i="3"/>
  <c r="N800" i="3"/>
  <c r="N799" i="3"/>
  <c r="N798" i="3"/>
  <c r="N797" i="3"/>
  <c r="N796" i="3"/>
  <c r="N795" i="3"/>
  <c r="N794" i="3"/>
  <c r="N793" i="3"/>
  <c r="N792" i="3"/>
  <c r="N791" i="3"/>
  <c r="N790" i="3"/>
  <c r="N789" i="3"/>
  <c r="N788" i="3"/>
  <c r="N787" i="3"/>
  <c r="N786" i="3"/>
  <c r="N785" i="3"/>
  <c r="N784" i="3"/>
  <c r="N783" i="3"/>
  <c r="N782" i="3"/>
  <c r="N781" i="3"/>
  <c r="N780" i="3"/>
  <c r="N779" i="3"/>
  <c r="N778" i="3"/>
  <c r="N777" i="3"/>
  <c r="N776" i="3"/>
  <c r="N775" i="3"/>
  <c r="N774" i="3"/>
  <c r="N773" i="3"/>
  <c r="N772" i="3"/>
  <c r="N771" i="3"/>
  <c r="N770" i="3"/>
  <c r="N769" i="3"/>
  <c r="N768" i="3"/>
  <c r="N767" i="3"/>
  <c r="N766" i="3"/>
  <c r="N765" i="3"/>
  <c r="N764" i="3"/>
  <c r="N763" i="3"/>
  <c r="N762" i="3"/>
  <c r="N761" i="3"/>
  <c r="N760" i="3"/>
  <c r="N759" i="3"/>
  <c r="N758" i="3"/>
  <c r="N757" i="3"/>
  <c r="N756" i="3"/>
  <c r="N755" i="3"/>
  <c r="N754" i="3"/>
  <c r="N753" i="3"/>
  <c r="N752" i="3"/>
  <c r="N751" i="3"/>
  <c r="N750" i="3"/>
  <c r="N749" i="3"/>
  <c r="N748" i="3"/>
  <c r="N747" i="3"/>
  <c r="N746" i="3"/>
  <c r="N745" i="3"/>
  <c r="N744" i="3"/>
  <c r="N743" i="3"/>
  <c r="N742" i="3"/>
  <c r="N741" i="3"/>
  <c r="N740" i="3"/>
  <c r="N739" i="3"/>
  <c r="N738" i="3"/>
  <c r="N737" i="3"/>
  <c r="N736" i="3"/>
  <c r="N735" i="3"/>
  <c r="N734" i="3"/>
  <c r="N733" i="3"/>
  <c r="N732" i="3"/>
  <c r="N731" i="3"/>
  <c r="N730" i="3"/>
  <c r="N729" i="3"/>
  <c r="N728" i="3"/>
  <c r="N727" i="3"/>
  <c r="N726" i="3"/>
  <c r="N725" i="3"/>
  <c r="N724" i="3"/>
  <c r="N723" i="3"/>
  <c r="N722" i="3"/>
  <c r="N721" i="3"/>
  <c r="N720" i="3"/>
  <c r="N719" i="3"/>
  <c r="N718" i="3"/>
  <c r="N717" i="3"/>
  <c r="N716" i="3"/>
  <c r="N715" i="3"/>
  <c r="N714" i="3"/>
  <c r="N713" i="3"/>
  <c r="N712" i="3"/>
  <c r="N711" i="3"/>
  <c r="N710" i="3"/>
  <c r="N709" i="3"/>
  <c r="N708" i="3"/>
  <c r="N707" i="3"/>
  <c r="N706" i="3"/>
  <c r="N705" i="3"/>
  <c r="N704" i="3"/>
  <c r="N703" i="3"/>
  <c r="N702" i="3"/>
  <c r="N701" i="3"/>
  <c r="N700" i="3"/>
  <c r="N699" i="3"/>
  <c r="N698" i="3"/>
  <c r="N697" i="3"/>
  <c r="N696" i="3"/>
  <c r="N695" i="3"/>
  <c r="N694" i="3"/>
  <c r="N693" i="3"/>
  <c r="N692" i="3"/>
  <c r="N691" i="3"/>
  <c r="N690" i="3"/>
  <c r="N689" i="3"/>
  <c r="N688" i="3"/>
  <c r="N687" i="3"/>
  <c r="N686" i="3"/>
  <c r="N685" i="3"/>
  <c r="N684" i="3"/>
  <c r="N683" i="3"/>
  <c r="N682" i="3"/>
  <c r="N681" i="3"/>
  <c r="N680" i="3"/>
  <c r="N679" i="3"/>
  <c r="N678" i="3"/>
  <c r="N677" i="3"/>
  <c r="N676" i="3"/>
  <c r="N675" i="3"/>
  <c r="N674" i="3"/>
  <c r="N673" i="3"/>
  <c r="N672" i="3"/>
  <c r="N671" i="3"/>
  <c r="N670" i="3"/>
  <c r="N669" i="3"/>
  <c r="N668" i="3"/>
  <c r="N667" i="3"/>
  <c r="N666" i="3"/>
  <c r="N665" i="3"/>
  <c r="N664" i="3"/>
  <c r="N663" i="3"/>
  <c r="N662" i="3"/>
  <c r="N661" i="3"/>
  <c r="N660" i="3"/>
  <c r="N659" i="3"/>
  <c r="N658" i="3"/>
  <c r="N657" i="3"/>
  <c r="N656" i="3"/>
  <c r="N655" i="3"/>
  <c r="N654" i="3"/>
  <c r="N653" i="3"/>
  <c r="N652" i="3"/>
  <c r="N651" i="3"/>
  <c r="N650" i="3"/>
  <c r="N649" i="3"/>
  <c r="N648" i="3"/>
  <c r="N647" i="3"/>
  <c r="N646" i="3"/>
  <c r="N645" i="3"/>
  <c r="N644" i="3"/>
  <c r="N643" i="3"/>
  <c r="N642" i="3"/>
  <c r="N641" i="3"/>
  <c r="N640" i="3"/>
  <c r="N639" i="3"/>
  <c r="N638" i="3"/>
  <c r="N637" i="3"/>
  <c r="N636" i="3"/>
  <c r="N635" i="3"/>
  <c r="N634" i="3"/>
  <c r="N633" i="3"/>
  <c r="N632" i="3"/>
  <c r="N631" i="3"/>
  <c r="N630" i="3"/>
  <c r="N629" i="3"/>
  <c r="N628" i="3"/>
  <c r="N627" i="3"/>
  <c r="N626" i="3"/>
  <c r="N625" i="3"/>
  <c r="N624" i="3"/>
  <c r="N623" i="3"/>
  <c r="N622" i="3"/>
  <c r="N621" i="3"/>
  <c r="N620" i="3"/>
  <c r="N619" i="3"/>
  <c r="N618" i="3"/>
  <c r="N617" i="3"/>
  <c r="N616" i="3"/>
  <c r="N615" i="3"/>
  <c r="N614" i="3"/>
  <c r="N613" i="3"/>
  <c r="N612" i="3"/>
  <c r="N611" i="3"/>
  <c r="N610" i="3"/>
  <c r="N609" i="3"/>
  <c r="N608" i="3"/>
  <c r="N607" i="3"/>
  <c r="N606" i="3"/>
  <c r="N605" i="3"/>
  <c r="N604" i="3"/>
  <c r="N603" i="3"/>
  <c r="N602" i="3"/>
  <c r="N601" i="3"/>
  <c r="N600" i="3"/>
  <c r="N599" i="3"/>
  <c r="N598" i="3"/>
  <c r="N597" i="3"/>
  <c r="N596" i="3"/>
  <c r="N595" i="3"/>
  <c r="N594" i="3"/>
  <c r="N593" i="3"/>
  <c r="N592" i="3"/>
  <c r="N591" i="3"/>
  <c r="N590" i="3"/>
  <c r="N589" i="3"/>
  <c r="N588" i="3"/>
  <c r="N587" i="3"/>
  <c r="N586" i="3"/>
  <c r="N585" i="3"/>
  <c r="N584" i="3"/>
  <c r="N583" i="3"/>
  <c r="N582" i="3"/>
  <c r="N581" i="3"/>
  <c r="N580" i="3"/>
  <c r="N579" i="3"/>
  <c r="N578" i="3"/>
  <c r="N577" i="3"/>
  <c r="N576" i="3"/>
  <c r="N575" i="3"/>
  <c r="N574" i="3"/>
  <c r="N573" i="3"/>
  <c r="N572" i="3"/>
  <c r="N571" i="3"/>
  <c r="N570" i="3"/>
  <c r="N569" i="3"/>
  <c r="N568" i="3"/>
  <c r="N567" i="3"/>
  <c r="N566" i="3"/>
  <c r="N565" i="3"/>
  <c r="N564" i="3"/>
  <c r="N563" i="3"/>
  <c r="N562" i="3"/>
  <c r="N561" i="3"/>
  <c r="N560" i="3"/>
  <c r="N559" i="3"/>
  <c r="N558" i="3"/>
  <c r="N557" i="3"/>
  <c r="N556" i="3"/>
  <c r="N555" i="3"/>
  <c r="N554" i="3"/>
  <c r="N553" i="3"/>
  <c r="N552" i="3"/>
  <c r="N551" i="3"/>
  <c r="N550" i="3"/>
  <c r="N549" i="3"/>
  <c r="N548" i="3"/>
  <c r="N547" i="3"/>
  <c r="N546" i="3"/>
  <c r="N545" i="3"/>
  <c r="N544" i="3"/>
  <c r="N543" i="3"/>
  <c r="N542" i="3"/>
  <c r="N541" i="3"/>
  <c r="N540" i="3"/>
  <c r="N539" i="3"/>
  <c r="N538" i="3"/>
  <c r="N537" i="3"/>
  <c r="N536" i="3"/>
  <c r="N535" i="3"/>
  <c r="N534" i="3"/>
  <c r="N533" i="3"/>
  <c r="N532" i="3"/>
  <c r="N531" i="3"/>
  <c r="N530" i="3"/>
  <c r="N529" i="3"/>
  <c r="N528" i="3"/>
  <c r="N527" i="3"/>
  <c r="N526" i="3"/>
  <c r="N525" i="3"/>
  <c r="N524" i="3"/>
  <c r="N523" i="3"/>
  <c r="N522" i="3"/>
  <c r="N521" i="3"/>
  <c r="N520" i="3"/>
  <c r="N519" i="3"/>
  <c r="N518" i="3"/>
  <c r="N517" i="3"/>
  <c r="N516" i="3"/>
  <c r="N515" i="3"/>
  <c r="N514" i="3"/>
  <c r="N513" i="3"/>
  <c r="N512" i="3"/>
  <c r="N511" i="3"/>
  <c r="N510" i="3"/>
  <c r="N509" i="3"/>
  <c r="N508" i="3"/>
  <c r="N507" i="3"/>
  <c r="N506" i="3"/>
  <c r="N505" i="3"/>
  <c r="N504" i="3"/>
  <c r="N503" i="3"/>
  <c r="N502" i="3"/>
  <c r="N501" i="3"/>
  <c r="N500" i="3"/>
  <c r="N499" i="3"/>
  <c r="N498" i="3"/>
  <c r="N497" i="3"/>
  <c r="N496" i="3"/>
  <c r="N495" i="3"/>
  <c r="N494" i="3"/>
  <c r="N493" i="3"/>
  <c r="N492" i="3"/>
  <c r="N491" i="3"/>
  <c r="N490" i="3"/>
  <c r="N489" i="3"/>
  <c r="N488" i="3"/>
  <c r="N487" i="3"/>
  <c r="N486" i="3"/>
  <c r="N485" i="3"/>
  <c r="N484" i="3"/>
  <c r="N483" i="3"/>
  <c r="N482" i="3"/>
  <c r="N481" i="3"/>
  <c r="N480" i="3"/>
  <c r="N479" i="3"/>
  <c r="N478" i="3"/>
  <c r="N477" i="3"/>
  <c r="N476" i="3"/>
  <c r="N475" i="3"/>
  <c r="N474" i="3"/>
  <c r="N473" i="3"/>
  <c r="N472" i="3"/>
  <c r="N471" i="3"/>
  <c r="N470" i="3"/>
  <c r="N469" i="3"/>
  <c r="N468" i="3"/>
  <c r="N467" i="3"/>
  <c r="N466" i="3"/>
  <c r="N465" i="3"/>
  <c r="N464" i="3"/>
  <c r="N463" i="3"/>
  <c r="N462" i="3"/>
  <c r="N461" i="3"/>
  <c r="N460" i="3"/>
  <c r="N459" i="3"/>
  <c r="N458" i="3"/>
  <c r="N457" i="3"/>
  <c r="N456" i="3"/>
  <c r="N455" i="3"/>
  <c r="N454" i="3"/>
  <c r="N453" i="3"/>
  <c r="N452" i="3"/>
  <c r="N451" i="3"/>
  <c r="N450" i="3"/>
  <c r="N449" i="3"/>
  <c r="N448" i="3"/>
  <c r="N447" i="3"/>
  <c r="N446" i="3"/>
  <c r="N445" i="3"/>
  <c r="N444" i="3"/>
  <c r="N443" i="3"/>
  <c r="N442" i="3"/>
  <c r="N441" i="3"/>
  <c r="N440" i="3"/>
  <c r="N439" i="3"/>
  <c r="N438" i="3"/>
  <c r="N437" i="3"/>
  <c r="N436" i="3"/>
  <c r="N435" i="3"/>
  <c r="N434" i="3"/>
  <c r="N433" i="3"/>
  <c r="N432" i="3"/>
  <c r="N431" i="3"/>
  <c r="N430" i="3"/>
  <c r="N429" i="3"/>
  <c r="N428" i="3"/>
  <c r="N427" i="3"/>
  <c r="N426" i="3"/>
  <c r="N425" i="3"/>
  <c r="N424" i="3"/>
  <c r="N423" i="3"/>
  <c r="N422" i="3"/>
  <c r="N421" i="3"/>
  <c r="N420" i="3"/>
  <c r="N419" i="3"/>
  <c r="N418" i="3"/>
  <c r="N417" i="3"/>
  <c r="N416" i="3"/>
  <c r="N415" i="3"/>
  <c r="N414" i="3"/>
  <c r="N413" i="3"/>
  <c r="N412" i="3"/>
  <c r="N411" i="3"/>
  <c r="N410" i="3"/>
  <c r="N409" i="3"/>
  <c r="N408" i="3"/>
  <c r="N407" i="3"/>
  <c r="N406" i="3"/>
  <c r="N405" i="3"/>
  <c r="N404" i="3"/>
  <c r="N403" i="3"/>
  <c r="N402" i="3"/>
  <c r="N401" i="3"/>
  <c r="N400" i="3"/>
  <c r="N399" i="3"/>
  <c r="N398" i="3"/>
  <c r="N397" i="3"/>
  <c r="N396" i="3"/>
  <c r="N395" i="3"/>
  <c r="N394" i="3"/>
  <c r="N393" i="3"/>
  <c r="N392" i="3"/>
  <c r="N391" i="3"/>
  <c r="N390" i="3"/>
  <c r="N389" i="3"/>
  <c r="N388" i="3"/>
  <c r="N387" i="3"/>
  <c r="N386" i="3"/>
  <c r="N385" i="3"/>
  <c r="N384" i="3"/>
  <c r="N383" i="3"/>
  <c r="N382" i="3"/>
  <c r="N381" i="3"/>
  <c r="N380" i="3"/>
  <c r="N379" i="3"/>
  <c r="N378" i="3"/>
  <c r="N377" i="3"/>
  <c r="N376" i="3"/>
  <c r="N375" i="3"/>
  <c r="N374" i="3"/>
  <c r="N373" i="3"/>
  <c r="N372" i="3"/>
  <c r="N371" i="3"/>
  <c r="N370" i="3"/>
  <c r="N369" i="3"/>
  <c r="N368" i="3"/>
  <c r="N367" i="3"/>
  <c r="N366" i="3"/>
  <c r="N365" i="3"/>
  <c r="N364" i="3"/>
  <c r="N363" i="3"/>
  <c r="N362" i="3"/>
  <c r="N361" i="3"/>
  <c r="N360" i="3"/>
  <c r="N359" i="3"/>
  <c r="N358" i="3"/>
  <c r="N357" i="3"/>
  <c r="N356" i="3"/>
  <c r="N355" i="3"/>
  <c r="N354" i="3"/>
  <c r="N353" i="3"/>
  <c r="N352" i="3"/>
  <c r="N351" i="3"/>
  <c r="N350" i="3"/>
  <c r="N349" i="3"/>
  <c r="N348" i="3"/>
  <c r="N347" i="3"/>
  <c r="N346" i="3"/>
  <c r="N345" i="3"/>
  <c r="N344" i="3"/>
  <c r="N343" i="3"/>
  <c r="N342" i="3"/>
  <c r="N341" i="3"/>
  <c r="N340" i="3"/>
  <c r="N339" i="3"/>
  <c r="N338" i="3"/>
  <c r="N337" i="3"/>
  <c r="N336" i="3"/>
  <c r="N335" i="3"/>
  <c r="N334" i="3"/>
  <c r="N333" i="3"/>
  <c r="N332" i="3"/>
  <c r="N331" i="3"/>
  <c r="N330" i="3"/>
  <c r="N329" i="3"/>
  <c r="N328" i="3"/>
  <c r="N327" i="3"/>
  <c r="N326" i="3"/>
  <c r="N325" i="3"/>
  <c r="N324" i="3"/>
  <c r="N323" i="3"/>
  <c r="N322" i="3"/>
  <c r="N321" i="3"/>
  <c r="N320" i="3"/>
  <c r="N319" i="3"/>
  <c r="N318" i="3"/>
  <c r="N317" i="3"/>
  <c r="N316" i="3"/>
  <c r="N315" i="3"/>
  <c r="N314" i="3"/>
  <c r="N313" i="3"/>
  <c r="N312" i="3"/>
  <c r="N311" i="3"/>
  <c r="N310" i="3"/>
  <c r="N309" i="3"/>
  <c r="N308" i="3"/>
  <c r="N307" i="3"/>
  <c r="N306" i="3"/>
  <c r="N305" i="3"/>
  <c r="N304" i="3"/>
  <c r="N303" i="3"/>
  <c r="N302" i="3"/>
  <c r="N301" i="3"/>
  <c r="N300" i="3"/>
  <c r="N299" i="3"/>
  <c r="N298" i="3"/>
  <c r="N297" i="3"/>
  <c r="N296" i="3"/>
  <c r="N295" i="3"/>
  <c r="N294" i="3"/>
  <c r="N293" i="3"/>
  <c r="N292" i="3"/>
  <c r="N291" i="3"/>
  <c r="N290" i="3"/>
  <c r="N289" i="3"/>
  <c r="N288" i="3"/>
  <c r="N287" i="3"/>
  <c r="N286" i="3"/>
  <c r="N285" i="3"/>
  <c r="N284" i="3"/>
  <c r="N283" i="3"/>
  <c r="N282" i="3"/>
  <c r="N281" i="3"/>
  <c r="N280" i="3"/>
  <c r="N279" i="3"/>
  <c r="N278" i="3"/>
  <c r="N277" i="3"/>
  <c r="N276" i="3"/>
  <c r="N275" i="3"/>
  <c r="N274" i="3"/>
  <c r="N273" i="3"/>
  <c r="N272" i="3"/>
  <c r="N271" i="3"/>
  <c r="N270" i="3"/>
  <c r="N269" i="3"/>
  <c r="N268" i="3"/>
  <c r="N267" i="3"/>
  <c r="N266" i="3"/>
  <c r="N265" i="3"/>
  <c r="N264" i="3"/>
  <c r="N263" i="3"/>
  <c r="N262" i="3"/>
  <c r="N261" i="3"/>
  <c r="N260" i="3"/>
  <c r="N259" i="3"/>
  <c r="N258" i="3"/>
  <c r="N257" i="3"/>
  <c r="N256" i="3"/>
  <c r="N255" i="3"/>
  <c r="N254" i="3"/>
  <c r="N253" i="3"/>
  <c r="N252" i="3"/>
  <c r="N251" i="3"/>
  <c r="N250" i="3"/>
  <c r="N249" i="3"/>
  <c r="N248" i="3"/>
  <c r="N247" i="3"/>
  <c r="N246" i="3"/>
  <c r="N245" i="3"/>
  <c r="N244" i="3"/>
  <c r="N243" i="3"/>
  <c r="N242" i="3"/>
  <c r="N241" i="3"/>
  <c r="N240" i="3"/>
  <c r="N239" i="3"/>
  <c r="N238" i="3"/>
  <c r="N237" i="3"/>
  <c r="N236" i="3"/>
  <c r="N235" i="3"/>
  <c r="N234" i="3"/>
  <c r="N233" i="3"/>
  <c r="N232" i="3"/>
  <c r="N231" i="3"/>
  <c r="N230" i="3"/>
  <c r="N229" i="3"/>
  <c r="N228" i="3"/>
  <c r="N227" i="3"/>
  <c r="N226" i="3"/>
  <c r="N225" i="3"/>
  <c r="N224" i="3"/>
  <c r="N223" i="3"/>
  <c r="N222" i="3"/>
  <c r="N221" i="3"/>
  <c r="N220" i="3"/>
  <c r="N219" i="3"/>
  <c r="N218" i="3"/>
  <c r="N217" i="3"/>
  <c r="N216" i="3"/>
  <c r="N215" i="3"/>
  <c r="N214" i="3"/>
  <c r="N213" i="3"/>
  <c r="N212" i="3"/>
  <c r="N211" i="3"/>
  <c r="N210" i="3"/>
  <c r="N209" i="3"/>
  <c r="N208" i="3"/>
  <c r="N207" i="3"/>
  <c r="N206" i="3"/>
  <c r="N205" i="3"/>
  <c r="N204" i="3"/>
  <c r="N203" i="3"/>
  <c r="N202" i="3"/>
  <c r="N201" i="3"/>
  <c r="N200" i="3"/>
  <c r="N199" i="3"/>
  <c r="N198" i="3"/>
  <c r="N197" i="3"/>
  <c r="N196" i="3"/>
  <c r="N195" i="3"/>
  <c r="N194" i="3"/>
  <c r="N193" i="3"/>
  <c r="N192" i="3"/>
  <c r="N191" i="3"/>
  <c r="N190" i="3"/>
  <c r="N189" i="3"/>
  <c r="N188" i="3"/>
  <c r="N187" i="3"/>
  <c r="N186" i="3"/>
  <c r="N185" i="3"/>
  <c r="N184" i="3"/>
  <c r="N183" i="3"/>
  <c r="N182" i="3"/>
  <c r="N181" i="3"/>
  <c r="N180" i="3"/>
  <c r="N179" i="3"/>
  <c r="N178" i="3"/>
  <c r="N177" i="3"/>
  <c r="N176" i="3"/>
  <c r="N175" i="3"/>
  <c r="N174" i="3"/>
  <c r="N173" i="3"/>
  <c r="N172" i="3"/>
  <c r="N171" i="3"/>
  <c r="N170" i="3"/>
  <c r="N169" i="3"/>
  <c r="N168" i="3"/>
  <c r="N167" i="3"/>
  <c r="N166" i="3"/>
  <c r="N165" i="3"/>
  <c r="N164" i="3"/>
  <c r="N163" i="3"/>
  <c r="N162" i="3"/>
  <c r="N161" i="3"/>
  <c r="N160" i="3"/>
  <c r="N159" i="3"/>
  <c r="N158" i="3"/>
  <c r="N157" i="3"/>
  <c r="N156" i="3"/>
  <c r="N155" i="3"/>
  <c r="N154" i="3"/>
  <c r="N153" i="3"/>
  <c r="N152" i="3"/>
  <c r="N151" i="3"/>
  <c r="N150" i="3"/>
  <c r="N149" i="3"/>
  <c r="N148" i="3"/>
  <c r="N147" i="3"/>
  <c r="N146" i="3"/>
  <c r="N145" i="3"/>
  <c r="N144" i="3"/>
  <c r="N143" i="3"/>
  <c r="N142" i="3"/>
  <c r="N141" i="3"/>
  <c r="N140" i="3"/>
  <c r="N139" i="3"/>
  <c r="N138" i="3"/>
  <c r="N137" i="3"/>
  <c r="N136" i="3"/>
  <c r="N135" i="3"/>
  <c r="N134" i="3"/>
  <c r="N133" i="3"/>
  <c r="N132" i="3"/>
  <c r="N131" i="3"/>
  <c r="N130" i="3"/>
  <c r="N129" i="3"/>
  <c r="N128" i="3"/>
  <c r="N127" i="3"/>
  <c r="N126" i="3"/>
  <c r="N125" i="3"/>
  <c r="N124" i="3"/>
  <c r="N123" i="3"/>
  <c r="N122" i="3"/>
  <c r="N121" i="3"/>
  <c r="N120" i="3"/>
  <c r="N119" i="3"/>
  <c r="N118" i="3"/>
  <c r="N117" i="3"/>
  <c r="N116" i="3"/>
  <c r="N115" i="3"/>
  <c r="N114" i="3"/>
  <c r="N113" i="3"/>
  <c r="N112" i="3"/>
  <c r="N111" i="3"/>
  <c r="N110" i="3"/>
  <c r="N109" i="3"/>
  <c r="N108" i="3"/>
  <c r="N107" i="3"/>
  <c r="N106" i="3"/>
  <c r="N105" i="3"/>
  <c r="N104" i="3"/>
  <c r="N103" i="3"/>
  <c r="N102" i="3"/>
  <c r="N101" i="3"/>
  <c r="N100" i="3"/>
  <c r="N99" i="3"/>
  <c r="N98" i="3"/>
  <c r="N97" i="3"/>
  <c r="N96" i="3"/>
  <c r="N95" i="3"/>
  <c r="N94" i="3"/>
  <c r="N93" i="3"/>
  <c r="N92" i="3"/>
  <c r="N91" i="3"/>
  <c r="N90" i="3"/>
  <c r="N89" i="3"/>
  <c r="N88" i="3"/>
  <c r="N87" i="3"/>
  <c r="N86" i="3"/>
  <c r="N85" i="3"/>
  <c r="N84" i="3"/>
  <c r="N83" i="3"/>
  <c r="N82" i="3"/>
  <c r="N81" i="3"/>
  <c r="N80" i="3"/>
  <c r="N79" i="3"/>
  <c r="N78" i="3"/>
  <c r="N77" i="3"/>
  <c r="N76" i="3"/>
  <c r="N75" i="3"/>
  <c r="N74" i="3"/>
  <c r="N73" i="3"/>
  <c r="N72" i="3"/>
  <c r="N71" i="3"/>
  <c r="N70" i="3"/>
  <c r="N69" i="3"/>
  <c r="N68" i="3"/>
  <c r="N67" i="3"/>
  <c r="N66" i="3"/>
  <c r="N65" i="3"/>
  <c r="N64" i="3"/>
  <c r="N63" i="3"/>
  <c r="N62" i="3"/>
  <c r="F53" i="3" s="1"/>
  <c r="N61" i="3"/>
  <c r="N60" i="3"/>
  <c r="N59" i="3"/>
  <c r="N58" i="3"/>
  <c r="N57" i="3"/>
  <c r="N56" i="3"/>
  <c r="N55" i="3"/>
  <c r="N54" i="3"/>
  <c r="N53" i="3"/>
  <c r="E53" i="3"/>
  <c r="N52" i="3"/>
  <c r="N51" i="3"/>
  <c r="N50" i="3"/>
  <c r="N49" i="3"/>
  <c r="E49" i="3"/>
  <c r="N48" i="3"/>
  <c r="N47" i="3"/>
  <c r="N46" i="3"/>
  <c r="N45" i="3"/>
  <c r="E45" i="3"/>
  <c r="N44" i="3"/>
  <c r="N43" i="3"/>
  <c r="N42" i="3"/>
  <c r="N41" i="3"/>
  <c r="E41" i="3"/>
  <c r="N40" i="3"/>
  <c r="N39" i="3"/>
  <c r="N38" i="3"/>
  <c r="N37" i="3"/>
  <c r="E37" i="3"/>
  <c r="N36" i="3"/>
  <c r="N35" i="3"/>
  <c r="N34" i="3"/>
  <c r="N33" i="3"/>
  <c r="E33" i="3"/>
  <c r="N32" i="3"/>
  <c r="N31" i="3"/>
  <c r="N30" i="3"/>
  <c r="N29" i="3"/>
  <c r="E29" i="3"/>
  <c r="N28" i="3"/>
  <c r="N27" i="3"/>
  <c r="N26" i="3"/>
  <c r="N25" i="3"/>
  <c r="E25" i="3"/>
  <c r="N24" i="3"/>
  <c r="N23" i="3"/>
  <c r="N22" i="3"/>
  <c r="N21" i="3"/>
  <c r="E21" i="3"/>
  <c r="N20" i="3"/>
  <c r="N19" i="3"/>
  <c r="N18" i="3"/>
  <c r="N17" i="3"/>
  <c r="E17" i="3"/>
  <c r="N16" i="3"/>
  <c r="N15" i="3"/>
  <c r="N14" i="3"/>
  <c r="N13" i="3"/>
  <c r="E13" i="3"/>
  <c r="N12" i="3"/>
  <c r="N11" i="3"/>
  <c r="N10" i="3"/>
  <c r="N9" i="3"/>
  <c r="E9" i="3"/>
  <c r="N8" i="3"/>
  <c r="N7" i="3"/>
  <c r="N6" i="3"/>
  <c r="N5" i="3"/>
  <c r="F52" i="3" s="1"/>
  <c r="E5" i="3"/>
  <c r="N4" i="3"/>
  <c r="C1" i="3"/>
  <c r="E502" i="1"/>
  <c r="D502" i="1"/>
  <c r="C502"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 r="F37" i="3" l="1"/>
  <c r="E38" i="3"/>
  <c r="F50" i="3"/>
  <c r="F5" i="3"/>
  <c r="F21" i="3"/>
  <c r="F41" i="3"/>
  <c r="E14" i="3"/>
  <c r="E30" i="3"/>
  <c r="E46" i="3"/>
  <c r="F6" i="3"/>
  <c r="F10" i="3"/>
  <c r="F14" i="3"/>
  <c r="F18" i="3"/>
  <c r="F22" i="3"/>
  <c r="F26" i="3"/>
  <c r="F30" i="3"/>
  <c r="F34" i="3"/>
  <c r="F38" i="3"/>
  <c r="F42" i="3"/>
  <c r="F46" i="3"/>
  <c r="E7" i="3"/>
  <c r="E11" i="3"/>
  <c r="E15" i="3"/>
  <c r="E19" i="3"/>
  <c r="E23" i="3"/>
  <c r="E27" i="3"/>
  <c r="E31" i="3"/>
  <c r="E35" i="3"/>
  <c r="E39" i="3"/>
  <c r="E43" i="3"/>
  <c r="E47" i="3"/>
  <c r="E51" i="3"/>
  <c r="F9" i="3"/>
  <c r="F25" i="3"/>
  <c r="F49" i="3"/>
  <c r="E10" i="3"/>
  <c r="E26" i="3"/>
  <c r="E50" i="3"/>
  <c r="F23" i="3"/>
  <c r="F51" i="3"/>
  <c r="E4" i="3"/>
  <c r="E8" i="3"/>
  <c r="E12" i="3"/>
  <c r="E16" i="3"/>
  <c r="E20" i="3"/>
  <c r="E24" i="3"/>
  <c r="E28" i="3"/>
  <c r="E32" i="3"/>
  <c r="E36" i="3"/>
  <c r="E40" i="3"/>
  <c r="E44" i="3"/>
  <c r="E48" i="3"/>
  <c r="E52" i="3"/>
  <c r="F13" i="3"/>
  <c r="F17" i="3"/>
  <c r="F29" i="3"/>
  <c r="F33" i="3"/>
  <c r="F45" i="3"/>
  <c r="E6" i="3"/>
  <c r="E18" i="3"/>
  <c r="E22" i="3"/>
  <c r="E34" i="3"/>
  <c r="E42" i="3"/>
  <c r="F54" i="3"/>
  <c r="F7" i="3"/>
  <c r="F11" i="3"/>
  <c r="F15" i="3"/>
  <c r="F19" i="3"/>
  <c r="F27" i="3"/>
  <c r="F31" i="3"/>
  <c r="F35" i="3"/>
  <c r="F39" i="3"/>
  <c r="F43" i="3"/>
  <c r="F47" i="3"/>
  <c r="F4" i="3"/>
  <c r="F8" i="3"/>
  <c r="F12" i="3"/>
  <c r="F16" i="3"/>
  <c r="F20" i="3"/>
  <c r="F24" i="3"/>
  <c r="F28" i="3"/>
  <c r="F32" i="3"/>
  <c r="F36" i="3"/>
  <c r="F40" i="3"/>
  <c r="F44" i="3"/>
  <c r="F48" i="3"/>
</calcChain>
</file>

<file path=xl/sharedStrings.xml><?xml version="1.0" encoding="utf-8"?>
<sst xmlns="http://schemas.openxmlformats.org/spreadsheetml/2006/main" count="3433" uniqueCount="3343">
  <si>
    <t>Particulars</t>
  </si>
  <si>
    <t>AccountCode</t>
  </si>
  <si>
    <t>Debit</t>
  </si>
  <si>
    <t>Credit</t>
  </si>
  <si>
    <t>EntryType</t>
  </si>
  <si>
    <t>JobNo</t>
  </si>
  <si>
    <t>BillNo</t>
  </si>
  <si>
    <t>Department</t>
  </si>
  <si>
    <t>ItemCode</t>
  </si>
  <si>
    <t>LineNarration</t>
  </si>
  <si>
    <t>Documentation Charges - Income</t>
  </si>
  <si>
    <t>Labour Charges - Income</t>
  </si>
  <si>
    <t>Handling Charges - Income</t>
  </si>
  <si>
    <t>Share of Profit - Income</t>
  </si>
  <si>
    <t>AGENCY CHARGES</t>
  </si>
  <si>
    <t>Misc Recoverable - Income</t>
  </si>
  <si>
    <t>ORIGIN THC - Income</t>
  </si>
  <si>
    <t>Ocean Freight - Income</t>
  </si>
  <si>
    <t>Survey Fee - Income</t>
  </si>
  <si>
    <t>Transportation Chgs-Income (Taxable)</t>
  </si>
  <si>
    <t>INVOICE ROUNDED OFF</t>
  </si>
  <si>
    <t>Survey Fee - Expense</t>
  </si>
  <si>
    <t>Detention Charges - Expense</t>
  </si>
  <si>
    <t>Transportation Charges - Expense - S Tax</t>
  </si>
  <si>
    <t>Documentation Charges - Expense</t>
  </si>
  <si>
    <t>Handling Charges - Expense</t>
  </si>
  <si>
    <t>Transportation Charges - Expense</t>
  </si>
  <si>
    <t>Misc Recoverable - Expense</t>
  </si>
  <si>
    <t>Ocean Freight - Expense</t>
  </si>
  <si>
    <t>ORIGIN THC - Expense</t>
  </si>
  <si>
    <t>BUSINESS SUPPORT SERVICES (EXPS)</t>
  </si>
  <si>
    <t>AMS / ENS Charges - Expenses</t>
  </si>
  <si>
    <t>Courier Charges</t>
  </si>
  <si>
    <t>RATE FEES and SUBSCRIPTION</t>
  </si>
  <si>
    <t>INTERNET &amp; EDI EXPENSES</t>
  </si>
  <si>
    <t>Conveyance Expenses</t>
  </si>
  <si>
    <t>ELECTRICITY CHARGES</t>
  </si>
  <si>
    <t>Bonus</t>
  </si>
  <si>
    <t>SALARY INCENTIVE</t>
  </si>
  <si>
    <t>Salary</t>
  </si>
  <si>
    <t>Scooter Expenses</t>
  </si>
  <si>
    <t>Staff Welfare</t>
  </si>
  <si>
    <t>Telephone Expenses</t>
  </si>
  <si>
    <t>Travelling Expenses</t>
  </si>
  <si>
    <t>EDLI Contribution</t>
  </si>
  <si>
    <t>Motor Car Expenses</t>
  </si>
  <si>
    <t>Office Expenses</t>
  </si>
  <si>
    <t>Office Rent</t>
  </si>
  <si>
    <t>P. F. Inspection Charges</t>
  </si>
  <si>
    <t>Printing &amp; Stationery Charges</t>
  </si>
  <si>
    <t>Provident Fund Expenses</t>
  </si>
  <si>
    <t>City Compensatory Allowance</t>
  </si>
  <si>
    <t>Computer Care</t>
  </si>
  <si>
    <t>Conveyance (SALARY)</t>
  </si>
  <si>
    <t>Family Pension Expn.</t>
  </si>
  <si>
    <t>House Rent Allowance Charges</t>
  </si>
  <si>
    <t>Profit And Loss Account</t>
  </si>
  <si>
    <t>TOTAL</t>
  </si>
  <si>
    <t>JV REQUEST — EXCEL UPLOAD</t>
  </si>
  <si>
    <t>How to use</t>
  </si>
  <si>
    <t xml:space="preserve"> </t>
  </si>
  <si>
    <t>1.  On the JV Request screen fill Voucher Date and Narration, and select the Entry Type, Department (and Job No / Bill No) that apply to the whole voucher.</t>
  </si>
  <si>
    <t>2.  In the JVLines sheet, for each line: choose the Particulars from the dropdown and type the amount in either Debit or Credit. Nothing else is normally required.</t>
  </si>
  <si>
    <t>3.  AccountCode fills in by itself from the Particulars you chose. It is locked — do not type in it.</t>
  </si>
  <si>
    <t>4.  Leave EntryType, JobNo, BillNo and Department blank. Blank cells automatically take the value selected on screen. Fill them only on lines that differ.</t>
  </si>
  <si>
    <t>5.  Check the TOTAL row at the bottom. It must read BALANCED.</t>
  </si>
  <si>
    <t>6.  Save, click Upload Excel on the JV Request screen, review the rows in the grid, then click Submit to generate the JV Request.</t>
  </si>
  <si>
    <t>Finding an account</t>
  </si>
  <si>
    <t>IMPORTANT: the dropdown in column A cannot search. Excel only jumps to the FIRST letter you type, so typing "ocean" will NOT find "Ocean Freight - Income". Use the SEARCH box instead.</t>
  </si>
  <si>
    <t>TO SEARCH -- go to the AccountList sheet and type in the yellow SEARCH box at the top. It matches any part of the name AND the code. Type "ocean" and all 10 Ocean accounts are listed under RESULTS with their codes. Copy the code (or the name) into column A here.</t>
  </si>
  <si>
    <t>Other ways, if you prefer:</t>
  </si>
  <si>
    <t>1.  DROPDOWN -- click the cell in column A, click the arrow and scroll. The list is sorted by name. Fine when you know the name already.</t>
  </si>
  <si>
    <t>2.  FILTER -- on the AccountList sheet use the filter arrows on the header row, or press Ctrl+F. You can sort that sheet by code or by name, whichever way you are working.</t>
  </si>
  <si>
    <t>3.  PASTE -- paste a whole column of names, or of codes, straight into column A. Column A accepts both. Any line that cannot be matched shows NOT FOUND in red in column B, so you only need to fix those.</t>
  </si>
  <si>
    <t>Column rules</t>
  </si>
  <si>
    <t>A  Particulars</t>
  </si>
  <si>
    <t>REQUIRED. Dropdown of general account names. An account CODE may be typed or pasted here instead of the name. Client and supplier accounts are not in the list — Excel warns but allows them, and the server validates on upload.</t>
  </si>
  <si>
    <t>B  AccountCode</t>
  </si>
  <si>
    <t>AUTOMATIC and locked. Works out the code from whatever you put in column A, whether that was a name or a code. Shows NOT FOUND in red if it matches neither.</t>
  </si>
  <si>
    <t>C  Debit</t>
  </si>
  <si>
    <t>Number greater than zero, or blank.</t>
  </si>
  <si>
    <t>D  Credit</t>
  </si>
  <si>
    <t>Number greater than zero, or blank. Fill EITHER Debit OR Credit on a line, never both. The Debit/Credit transaction type is worked out automatically — there is no D/C column.</t>
  </si>
  <si>
    <t>E  EntryType</t>
  </si>
  <si>
    <t>Optional dropdown: General, Advance, Against Bill, JobNo, Opening Balance. Blank = the Entry Type selected on screen.</t>
  </si>
  <si>
    <t>F  JobNo</t>
  </si>
  <si>
    <t>Optional. 15 characters, first 2 must be your company code. Needed on Advance lines and for accounts that report by job. Blank = the Job No entered on screen.</t>
  </si>
  <si>
    <t>G  BillNo</t>
  </si>
  <si>
    <t>Optional. 15 characters. Needed on Against Bill and Opening Balance lines. Blank = the Bill No entered on screen.</t>
  </si>
  <si>
    <t>H  Department</t>
  </si>
  <si>
    <t>Optional dropdown. Used only when a line has no Job No and no Bill No. Blank = the Department selected on screen.</t>
  </si>
  <si>
    <t>I  ItemCode</t>
  </si>
  <si>
    <t>Rarely used. The list changes to match the account chosen in column A. Most accounts have no items — leave blank. Filled automatically when an account has only one item.</t>
  </si>
  <si>
    <t>J  LineNarration</t>
  </si>
  <si>
    <t>Optional. MAXIMUM 20 CHARACTERS — a database limit, not a preference. Longer text belongs in the Narration field on the JV screen.</t>
  </si>
  <si>
    <t>Please note</t>
  </si>
  <si>
    <t>One file = one JV. Total Debit must equal Total Credit.</t>
  </si>
  <si>
    <t>Do not add, rename, reorder or delete the columns in row 1.</t>
  </si>
  <si>
    <t>Data starts in row 2. Leave no blank row in the middle of the data — the first blank row ends the upload.</t>
  </si>
  <si>
    <t>Do not enter a JV number anywhere. It is generated by the system when the request is authorised.</t>
  </si>
  <si>
    <t>Voucher Date and the header Narration are entered on screen, not in this file.</t>
  </si>
  <si>
    <t>Download a fresh template whenever accounts or departments change — the dropdown lists are built at the moment of download.</t>
  </si>
  <si>
    <t>Example</t>
  </si>
  <si>
    <t>On screen: Entry Type = General, Department = GENERAL|AHMEDABAD</t>
  </si>
  <si>
    <t>G100920</t>
  </si>
  <si>
    <t>G101604</t>
  </si>
  <si>
    <t>G101025</t>
  </si>
  <si>
    <t>G100209</t>
  </si>
  <si>
    <t>AccountCode is filled in by the sheet. EntryType and Department left blank on every line — they are taken from the screen.</t>
  </si>
  <si>
    <t>SEARCH:</t>
  </si>
  <si>
    <t>Has Items?</t>
  </si>
  <si>
    <t>RESULT: Code</t>
  </si>
  <si>
    <t>RESULT: Particulars</t>
  </si>
  <si>
    <t>DeptId</t>
  </si>
  <si>
    <t>G100411</t>
  </si>
  <si>
    <t>A. N. Hande</t>
  </si>
  <si>
    <t>Air Export|AHMEDABAD</t>
  </si>
  <si>
    <t>19</t>
  </si>
  <si>
    <t>General</t>
  </si>
  <si>
    <t>G101481</t>
  </si>
  <si>
    <t>A. V. ENTERPRISES (AJMERA) DEPOSIT</t>
  </si>
  <si>
    <t>Air Export|BANGALORE</t>
  </si>
  <si>
    <t>15</t>
  </si>
  <si>
    <t>Advance</t>
  </si>
  <si>
    <t>G100419</t>
  </si>
  <si>
    <t>A.A. MAPARA</t>
  </si>
  <si>
    <t>Air Export|DELHI</t>
  </si>
  <si>
    <t>7</t>
  </si>
  <si>
    <t>Against Bill</t>
  </si>
  <si>
    <t>G101874</t>
  </si>
  <si>
    <t>A.N.HANDE (LOAN A/C)</t>
  </si>
  <si>
    <t>Air Export|MADRAS</t>
  </si>
  <si>
    <t>11</t>
  </si>
  <si>
    <t>G101763</t>
  </si>
  <si>
    <t>Aarti G. Singh (Loan A/c)</t>
  </si>
  <si>
    <t>Air Export|MUMBAI</t>
  </si>
  <si>
    <t>3</t>
  </si>
  <si>
    <t>Opening Balance</t>
  </si>
  <si>
    <t>G101295</t>
  </si>
  <si>
    <t>ABN-AMRO BANK(TAVARA LOAN)</t>
  </si>
  <si>
    <t>Air Export|TUTICORIN</t>
  </si>
  <si>
    <t>97</t>
  </si>
  <si>
    <t>G100256</t>
  </si>
  <si>
    <t>ADARSH JANTA SAHAKARI CO-OP.BANK LTD(CLG</t>
  </si>
  <si>
    <t>Air Import|AHMEDABAD</t>
  </si>
  <si>
    <t>20</t>
  </si>
  <si>
    <t>G101133</t>
  </si>
  <si>
    <t>ADVANCE INCOME TAX (2005-2006 ASST.YEAR)</t>
  </si>
  <si>
    <t>Air Import|BANGALORE</t>
  </si>
  <si>
    <t>16</t>
  </si>
  <si>
    <t>G101281</t>
  </si>
  <si>
    <t>ADVANCE INCOME TAX (2006-2007 ASST.YEAR)</t>
  </si>
  <si>
    <t>Air Import|DELHI</t>
  </si>
  <si>
    <t>8</t>
  </si>
  <si>
    <t>G101387</t>
  </si>
  <si>
    <t>ADVANCE INCOME TAX (2008-2009 ASST.YEAR)</t>
  </si>
  <si>
    <t>Air Import|MADRAS</t>
  </si>
  <si>
    <t>12</t>
  </si>
  <si>
    <t>G101462</t>
  </si>
  <si>
    <t>ADVANCE INCOME TAX (2009-2010 ASST.YEAR)</t>
  </si>
  <si>
    <t>Air Import|MUMBAI</t>
  </si>
  <si>
    <t>4</t>
  </si>
  <si>
    <t>G101509</t>
  </si>
  <si>
    <t>ADVANCE INCOME TAX (2010-2011 ASST.YEAR)</t>
  </si>
  <si>
    <t>Air Import|TUTICORIN</t>
  </si>
  <si>
    <t>100</t>
  </si>
  <si>
    <t>G101620</t>
  </si>
  <si>
    <t>ADVANCE INCOME TAX (2011-2012 ASST.YEAR)</t>
  </si>
  <si>
    <t>GENERAL|AHMEDABAD</t>
  </si>
  <si>
    <t>73</t>
  </si>
  <si>
    <t>G101653</t>
  </si>
  <si>
    <t>ADVANCE INCOME TAX (2012-2013 ASST.YEAR)</t>
  </si>
  <si>
    <t>GENERAL|BANGALORE</t>
  </si>
  <si>
    <t>72</t>
  </si>
  <si>
    <t>G101724</t>
  </si>
  <si>
    <t>ADVANCE INCOME TAX (2013-2014 ASST.YEAR)</t>
  </si>
  <si>
    <t>GENERAL|DELHI</t>
  </si>
  <si>
    <t>70</t>
  </si>
  <si>
    <t>G102006</t>
  </si>
  <si>
    <t>ADVANCE INCOME TAX (2015-2016 ASST.YEAR)</t>
  </si>
  <si>
    <t>GENERAL|MADRAS</t>
  </si>
  <si>
    <t>71</t>
  </si>
  <si>
    <t>G100878</t>
  </si>
  <si>
    <t>Advance Receipts ( Duty, Freight Etc.)</t>
  </si>
  <si>
    <t>GENERAL|MUMBAI</t>
  </si>
  <si>
    <t>69</t>
  </si>
  <si>
    <t>G101645</t>
  </si>
  <si>
    <t>Advance Salary Anu Lamba</t>
  </si>
  <si>
    <t>GENERAL|TUTICORIN</t>
  </si>
  <si>
    <t>95</t>
  </si>
  <si>
    <t>G101801</t>
  </si>
  <si>
    <t>ADVANCE SALARY DEHU PATIL</t>
  </si>
  <si>
    <t>GODOWN|AHMEDABAD</t>
  </si>
  <si>
    <t>78</t>
  </si>
  <si>
    <t>G101592</t>
  </si>
  <si>
    <t>ADVANCE SALARY K.KESAVAN</t>
  </si>
  <si>
    <t>GODOWN|BANGALORE</t>
  </si>
  <si>
    <t>77</t>
  </si>
  <si>
    <t>G101205</t>
  </si>
  <si>
    <t>ADVANCE SALARY KESHAV RAM</t>
  </si>
  <si>
    <t>GODOWN|DELHI</t>
  </si>
  <si>
    <t>75</t>
  </si>
  <si>
    <t>G101799</t>
  </si>
  <si>
    <t>ADVANCE SALARY MUNNA</t>
  </si>
  <si>
    <t>GODOWN|MADRAS</t>
  </si>
  <si>
    <t>76</t>
  </si>
  <si>
    <t>G101821</t>
  </si>
  <si>
    <t>ADVANCE SALARY NARAYAN SINGH NEGI</t>
  </si>
  <si>
    <t>GODOWN|MUMBAI</t>
  </si>
  <si>
    <t>74</t>
  </si>
  <si>
    <t>G101211</t>
  </si>
  <si>
    <t>ADVANCE SALARY RAJESH PATIAL</t>
  </si>
  <si>
    <t>GODOWN|TUTICORIN</t>
  </si>
  <si>
    <t>101</t>
  </si>
  <si>
    <t>G101679</t>
  </si>
  <si>
    <t>Advance Salary Ram Niwas</t>
  </si>
  <si>
    <t>Sea Export|AHMEDABAD</t>
  </si>
  <si>
    <t>17</t>
  </si>
  <si>
    <t>G101797</t>
  </si>
  <si>
    <t>ADVANCE SALARY RAMESH KUMAR SHARMA</t>
  </si>
  <si>
    <t>Sea Export|BANGALORE</t>
  </si>
  <si>
    <t>13</t>
  </si>
  <si>
    <t>G100151</t>
  </si>
  <si>
    <t>Advertisement Expenses</t>
  </si>
  <si>
    <t>Sea Export|DELHI</t>
  </si>
  <si>
    <t>5</t>
  </si>
  <si>
    <t>G100243</t>
  </si>
  <si>
    <t>Sea Export|MADRAS</t>
  </si>
  <si>
    <t>9</t>
  </si>
  <si>
    <t>G100334</t>
  </si>
  <si>
    <t>Ahmedabad Office Rent Deposit</t>
  </si>
  <si>
    <t>Sea Export|MUMBAI</t>
  </si>
  <si>
    <t>1</t>
  </si>
  <si>
    <t>G100631</t>
  </si>
  <si>
    <t>Air Condition Machine</t>
  </si>
  <si>
    <t>Sea Export|TUTICORIN</t>
  </si>
  <si>
    <t>96</t>
  </si>
  <si>
    <t>G100632</t>
  </si>
  <si>
    <t>AIR CONDITIONER - DELHI</t>
  </si>
  <si>
    <t>Sea Import|AHMEDABAD</t>
  </si>
  <si>
    <t>18</t>
  </si>
  <si>
    <t>G101123</t>
  </si>
  <si>
    <t>AIR EDI</t>
  </si>
  <si>
    <t>Sea Import|BANGALORE</t>
  </si>
  <si>
    <t>14</t>
  </si>
  <si>
    <t>G101477</t>
  </si>
  <si>
    <t>AIR FRANCE(SERVICE TAX RCBL)</t>
  </si>
  <si>
    <t>Sea Import|DELHI</t>
  </si>
  <si>
    <t>6</t>
  </si>
  <si>
    <t>G100186</t>
  </si>
  <si>
    <t>Air Freight - Discount</t>
  </si>
  <si>
    <t>Sea Import|MADRAS</t>
  </si>
  <si>
    <t>10</t>
  </si>
  <si>
    <t>G102045</t>
  </si>
  <si>
    <t>Air Freight - Expense (DOMESTIC-TAXABLE)</t>
  </si>
  <si>
    <t>Sea Import|MUMBAI</t>
  </si>
  <si>
    <t>2</t>
  </si>
  <si>
    <t>G100235</t>
  </si>
  <si>
    <t>Air Freight - Expenses</t>
  </si>
  <si>
    <t>Sea Import|TUTICORIN</t>
  </si>
  <si>
    <t>99</t>
  </si>
  <si>
    <t>G101596</t>
  </si>
  <si>
    <t>Air Freight - Income</t>
  </si>
  <si>
    <t>TRANSPORT|AHMEDABAD</t>
  </si>
  <si>
    <t>83</t>
  </si>
  <si>
    <t>G102044</t>
  </si>
  <si>
    <t>Air Freight - Income (DOMESTIC -TAXABLE)</t>
  </si>
  <si>
    <t>TRANSPORT|BANGALORE</t>
  </si>
  <si>
    <t>82</t>
  </si>
  <si>
    <t>G100153</t>
  </si>
  <si>
    <t>Air Freight Commission</t>
  </si>
  <si>
    <t>TRANSPORT|DELHI</t>
  </si>
  <si>
    <t>80</t>
  </si>
  <si>
    <t>G101448</t>
  </si>
  <si>
    <t>AIR INDIA (EXPORT) TDS RCBL.</t>
  </si>
  <si>
    <t>TRANSPORT|MADRAS</t>
  </si>
  <si>
    <t>81</t>
  </si>
  <si>
    <t>G101447</t>
  </si>
  <si>
    <t>AIR INDIA (IMPORT) TDS RCBL.</t>
  </si>
  <si>
    <t>TRANSPORT|MUMBAI</t>
  </si>
  <si>
    <t>79</t>
  </si>
  <si>
    <t>G101222</t>
  </si>
  <si>
    <t>AIR INDIA (PD A/C. for CARTING)</t>
  </si>
  <si>
    <t>TRANSPORT|TUTICORIN</t>
  </si>
  <si>
    <t>98</t>
  </si>
  <si>
    <t>G101782</t>
  </si>
  <si>
    <t>Air India Sats TDS RCBL</t>
  </si>
  <si>
    <t>G101020</t>
  </si>
  <si>
    <t>Airport Terminal Charges - Expense</t>
  </si>
  <si>
    <t>G101614</t>
  </si>
  <si>
    <t>Airport Terminal Charges - Income</t>
  </si>
  <si>
    <t>G101789</t>
  </si>
  <si>
    <t>AJAY TALIM</t>
  </si>
  <si>
    <t>G101784</t>
  </si>
  <si>
    <t>AJAY TALIM (ADVANCE AGAINST SALARY)</t>
  </si>
  <si>
    <t>G101254</t>
  </si>
  <si>
    <t>AJIT KAVITKAR(LOAN A/C.)</t>
  </si>
  <si>
    <t>G100336</t>
  </si>
  <si>
    <t>AJMERA ENGINEERING (DEPOSIT ACCOUNT)</t>
  </si>
  <si>
    <t>G102091</t>
  </si>
  <si>
    <t>AL KHEYAAM DECORATORS (DEPOSIT A/C)</t>
  </si>
  <si>
    <t>G102073</t>
  </si>
  <si>
    <t>AMENDMENT CHARGES</t>
  </si>
  <si>
    <t>G102087</t>
  </si>
  <si>
    <t>AMENDMENT CHARGES - INCOME</t>
  </si>
  <si>
    <t>G100259</t>
  </si>
  <si>
    <t>American Express, Bombay</t>
  </si>
  <si>
    <t>G100761</t>
  </si>
  <si>
    <t>Ami S. Kapadia</t>
  </si>
  <si>
    <t>G102024</t>
  </si>
  <si>
    <t>G102023</t>
  </si>
  <si>
    <t>AMS / ENS Charges - Income</t>
  </si>
  <si>
    <t>G100260</t>
  </si>
  <si>
    <t>Andhra Bank, Bombay</t>
  </si>
  <si>
    <t>G100879</t>
  </si>
  <si>
    <t>Anirudh B. Mehta</t>
  </si>
  <si>
    <t>G100762</t>
  </si>
  <si>
    <t>Ansuya K. Vakil Or Krishnakant A. Vakil</t>
  </si>
  <si>
    <t>G100337</t>
  </si>
  <si>
    <t>Apple Leasing &amp; Ind.Ltd. (Deposit A/C)</t>
  </si>
  <si>
    <t>G100835</t>
  </si>
  <si>
    <t>APPLE LEASING (TRUCK LOAN ACCOUNT )</t>
  </si>
  <si>
    <t>G100420</t>
  </si>
  <si>
    <t>ARJUN K. JHA (LOAN A/C)</t>
  </si>
  <si>
    <t>G100421</t>
  </si>
  <si>
    <t>Arrears Payment To Employees</t>
  </si>
  <si>
    <t>G100763</t>
  </si>
  <si>
    <t>Ashok I. Mehta</t>
  </si>
  <si>
    <t>G101422</t>
  </si>
  <si>
    <t>ASHOK SAKPAL(LOAN A/C.)</t>
  </si>
  <si>
    <t>G101950</t>
  </si>
  <si>
    <t>ASHOKA STEEL TUBES DEPOSIT A/C</t>
  </si>
  <si>
    <t>G101901</t>
  </si>
  <si>
    <t>ASHWANI KUMAR TIWARI (LOAN A/C)</t>
  </si>
  <si>
    <t>G100156</t>
  </si>
  <si>
    <t>AUDIT FEE</t>
  </si>
  <si>
    <t>G100594</t>
  </si>
  <si>
    <t>AUSTRALIAN DOLLAR $$$$$$$$$$$$$$$$$$$$$$</t>
  </si>
  <si>
    <t>G100595</t>
  </si>
  <si>
    <t>AUSTRALIAN DOLLAR - AMERICAN EXPRESS A/C</t>
  </si>
  <si>
    <t>G100633</t>
  </si>
  <si>
    <t>AUTO CYCLE (ENFIELD MOFA) - CLG DELHI(2)</t>
  </si>
  <si>
    <t>G100157</t>
  </si>
  <si>
    <t>B. L. Stamp</t>
  </si>
  <si>
    <t>G100427</t>
  </si>
  <si>
    <t>B. M. Dhuria</t>
  </si>
  <si>
    <t>G101039</t>
  </si>
  <si>
    <t>B. M. Patel (HUF)</t>
  </si>
  <si>
    <t>G100618</t>
  </si>
  <si>
    <t>B. M. PATEL (HUF) (Share Capital)</t>
  </si>
  <si>
    <t>G100764</t>
  </si>
  <si>
    <t>B. M. Upadhyay</t>
  </si>
  <si>
    <t>G100765</t>
  </si>
  <si>
    <t>B. P. Patel.</t>
  </si>
  <si>
    <t>G100338</t>
  </si>
  <si>
    <t>B. P. T. Security Deposit</t>
  </si>
  <si>
    <t>G101159</t>
  </si>
  <si>
    <t>BABAJI NAVLE(LOAN A/C.)</t>
  </si>
  <si>
    <t>G100900</t>
  </si>
  <si>
    <t>BAD DEBTS **** ****</t>
  </si>
  <si>
    <t>G101472</t>
  </si>
  <si>
    <t>BAF (Bunker Adjustment Factor) - Expense</t>
  </si>
  <si>
    <t>G101597</t>
  </si>
  <si>
    <t>BAF (Bunker Adjustment Factor) - Income</t>
  </si>
  <si>
    <t>G101317</t>
  </si>
  <si>
    <t>BAJAJ AUTO FINANC-GJ-1-ED-7780 BIKE LOAN</t>
  </si>
  <si>
    <t>G100836</t>
  </si>
  <si>
    <t>BAJAJ AUTO FINANCE LTD.</t>
  </si>
  <si>
    <t>G100339</t>
  </si>
  <si>
    <t>Bajaj Scooter Deposit</t>
  </si>
  <si>
    <t>G101895</t>
  </si>
  <si>
    <t>Balkrishna Parulekar</t>
  </si>
  <si>
    <t>G102057</t>
  </si>
  <si>
    <t>BALKRISHNA PARULEKAR - LOAN A/C</t>
  </si>
  <si>
    <t>G102037</t>
  </si>
  <si>
    <t>Balmer Lawrie &amp; Co. Ltd. - TDS Rcbl A/c</t>
  </si>
  <si>
    <t>G100901</t>
  </si>
  <si>
    <t>Banglow Kitchen Expenses,</t>
  </si>
  <si>
    <t>G101116</t>
  </si>
  <si>
    <t>BANK CHARGES.</t>
  </si>
  <si>
    <t>G100159</t>
  </si>
  <si>
    <t>Bank Interest</t>
  </si>
  <si>
    <t>G102173</t>
  </si>
  <si>
    <t>Bank Of Baroda - Mumbai (04170200002402)</t>
  </si>
  <si>
    <t>G100261</t>
  </si>
  <si>
    <t>Bank Of Baroda, Ahmedabad</t>
  </si>
  <si>
    <t>G100263</t>
  </si>
  <si>
    <t>Bank Of Baroda, Kandla</t>
  </si>
  <si>
    <t>G100264</t>
  </si>
  <si>
    <t>BANK OF INDIA (DUTY ACCOUNT)</t>
  </si>
  <si>
    <t>G100265</t>
  </si>
  <si>
    <t>Bank Of Oman, Bombay</t>
  </si>
  <si>
    <t>G100266</t>
  </si>
  <si>
    <t>Bank Of Rajasthan, Bombay</t>
  </si>
  <si>
    <t>G100267</t>
  </si>
  <si>
    <t>Bank Of Tokya, Bombay</t>
  </si>
  <si>
    <t>G100268</t>
  </si>
  <si>
    <t>BANQUE NATIONALE DE PARIS</t>
  </si>
  <si>
    <t>G100160</t>
  </si>
  <si>
    <t>Benevolent Fund</t>
  </si>
  <si>
    <t>G101550</t>
  </si>
  <si>
    <t>Benevolent Fund Payable</t>
  </si>
  <si>
    <t>G101027</t>
  </si>
  <si>
    <t>Bhanuben Mehta</t>
  </si>
  <si>
    <t>G101774</t>
  </si>
  <si>
    <t>BHARATI THAKUR (LOAN A/C)</t>
  </si>
  <si>
    <t>G102014</t>
  </si>
  <si>
    <t>BHARMAL TUBES TRADING CO. (DEPOSIT A/C)</t>
  </si>
  <si>
    <t>G100340</t>
  </si>
  <si>
    <t>Bhavnagar Customs Deposit</t>
  </si>
  <si>
    <t>G100766</t>
  </si>
  <si>
    <t>Bhuleshwar M. Upadhyay, Bombay</t>
  </si>
  <si>
    <t>G100880</t>
  </si>
  <si>
    <t>BILL CREDIT BALANCE ADJUSTMENT ACCOUNT</t>
  </si>
  <si>
    <t>G100767</t>
  </si>
  <si>
    <t>Bindu Pankaj Shah</t>
  </si>
  <si>
    <t>G101669</t>
  </si>
  <si>
    <t>Bipin Jani (Loan A/c)</t>
  </si>
  <si>
    <t>G101028</t>
  </si>
  <si>
    <t>Bipin Manilal Patel</t>
  </si>
  <si>
    <t>G102013</t>
  </si>
  <si>
    <t>BIRAJ INDUSTRIES (DEPOSIT A/C)</t>
  </si>
  <si>
    <t>G100341</t>
  </si>
  <si>
    <t>Bombay Customs Licence Security Dpt</t>
  </si>
  <si>
    <t>G100161</t>
  </si>
  <si>
    <t>G100957</t>
  </si>
  <si>
    <t>Bonus Payable</t>
  </si>
  <si>
    <t>G100162</t>
  </si>
  <si>
    <t>Books &amp; Periodicals</t>
  </si>
  <si>
    <t>G102109</t>
  </si>
  <si>
    <t>BRANCH - TIRUPUR</t>
  </si>
  <si>
    <t>G102108</t>
  </si>
  <si>
    <t>BRANCH - TUTICORIN</t>
  </si>
  <si>
    <t>G101439</t>
  </si>
  <si>
    <t>BRANCH --- AHMEDABAD</t>
  </si>
  <si>
    <t>G101437</t>
  </si>
  <si>
    <t>BRANCH --- BANGALORE</t>
  </si>
  <si>
    <t>G101436</t>
  </si>
  <si>
    <t>BRANCH --- CHENNAI</t>
  </si>
  <si>
    <t>G102112</t>
  </si>
  <si>
    <t>BRANCH --- COCHIN</t>
  </si>
  <si>
    <t>G101438</t>
  </si>
  <si>
    <t>BRANCH --- DELHI</t>
  </si>
  <si>
    <t>G100437</t>
  </si>
  <si>
    <t>BRIDGET SEQUEIRA MISS</t>
  </si>
  <si>
    <t>G101723</t>
  </si>
  <si>
    <t>Brite Trans Power (Deposit A/c)</t>
  </si>
  <si>
    <t>G101524</t>
  </si>
  <si>
    <t>Brokerage Charges - Expense</t>
  </si>
  <si>
    <t>G100163</t>
  </si>
  <si>
    <t>Brokerage Charges - Income</t>
  </si>
  <si>
    <t>G100634</t>
  </si>
  <si>
    <t>BUS  EICHER - 23+2+1 SEATER</t>
  </si>
  <si>
    <t>G100902</t>
  </si>
  <si>
    <t>BUS OPERATING EXPENSES</t>
  </si>
  <si>
    <t>Yes</t>
  </si>
  <si>
    <t>G100164</t>
  </si>
  <si>
    <t>Business Promotion</t>
  </si>
  <si>
    <t>G102015</t>
  </si>
  <si>
    <t>G102016</t>
  </si>
  <si>
    <t>BUSINESS SUPPORT SERVICES (INC)</t>
  </si>
  <si>
    <t>G100439</t>
  </si>
  <si>
    <t>C. D. S. Refund</t>
  </si>
  <si>
    <t>G100903</t>
  </si>
  <si>
    <t>C. F. S. Charges</t>
  </si>
  <si>
    <t>G100440</t>
  </si>
  <si>
    <t>C. K. GOTHANKAR</t>
  </si>
  <si>
    <t>G100837</t>
  </si>
  <si>
    <t>C. K. P. CO-OP BANK LTD TL-II</t>
  </si>
  <si>
    <t>G100838</t>
  </si>
  <si>
    <t>C. K. P. CO-OP-LOAN A/C (ZEN -DELHI)</t>
  </si>
  <si>
    <t>G100270</t>
  </si>
  <si>
    <t>C. K. P. CO-OP. BANK LIMITED</t>
  </si>
  <si>
    <t>G100839</t>
  </si>
  <si>
    <t>C. K. P. CO-OP.-LOAN A/C.(ZEN-BOMBAY)</t>
  </si>
  <si>
    <t>G100272</t>
  </si>
  <si>
    <t>C. K. P. CO-OP.BANK (CC ACCOUNT)</t>
  </si>
  <si>
    <t>G100743</t>
  </si>
  <si>
    <t>C. K. P. CO-OP.BANK - SHARES</t>
  </si>
  <si>
    <t>G100840</t>
  </si>
  <si>
    <t>C. K. P. CO-OP.BANK -TERM LOAN</t>
  </si>
  <si>
    <t>G100841</t>
  </si>
  <si>
    <t>C. K. P. CO-OP.BANK-OPEL ASTRA LOAN A/C.</t>
  </si>
  <si>
    <t>G100842</t>
  </si>
  <si>
    <t>C. K. P. CO-OP.BANK-TUSKER TRUCK LOAN</t>
  </si>
  <si>
    <t>G100768</t>
  </si>
  <si>
    <t>C. M. Dave &amp; Laxmibai C. Dave</t>
  </si>
  <si>
    <t>G100441</t>
  </si>
  <si>
    <t>C. N. Kamthe</t>
  </si>
  <si>
    <t>G100442</t>
  </si>
  <si>
    <t>C. S. RAMAMOORTHY</t>
  </si>
  <si>
    <t>G101473</t>
  </si>
  <si>
    <t>CAF (Currency Adj Factor) - Expense</t>
  </si>
  <si>
    <t>G101598</t>
  </si>
  <si>
    <t>CAF (Currency Adj Factor) - Income</t>
  </si>
  <si>
    <t>G100596</t>
  </si>
  <si>
    <t>CANADIAN DOLLAR $$$$$$$$$$$$$$$$$$$$$$$$</t>
  </si>
  <si>
    <t>G100597</t>
  </si>
  <si>
    <t>CANADIAN DOLLAR - AMERICAN EXPRESS A/C.</t>
  </si>
  <si>
    <t>G100273</t>
  </si>
  <si>
    <t>Canara Bank, Ahmedabad</t>
  </si>
  <si>
    <t>G100274</t>
  </si>
  <si>
    <t>Canara Bank, P.M.Road, Bombay</t>
  </si>
  <si>
    <t>G102130</t>
  </si>
  <si>
    <t>CANARA ROBECO MUTUAL FUND</t>
  </si>
  <si>
    <t>G101833</t>
  </si>
  <si>
    <t>CANTER EICHER (DELHI)</t>
  </si>
  <si>
    <t>G101654</t>
  </si>
  <si>
    <t>Capital Advance for Fixed Assets</t>
  </si>
  <si>
    <t>G101434</t>
  </si>
  <si>
    <t>CAR - MH-43-V-5614 TATA INDIGO XL-GRAND</t>
  </si>
  <si>
    <t>G101432</t>
  </si>
  <si>
    <t>CAR - TOYOTA INNOVA - APRIL 2008</t>
  </si>
  <si>
    <t>G101393</t>
  </si>
  <si>
    <t>CARLOAN - HDFC-OPTRA-TN04AB3620</t>
  </si>
  <si>
    <t>G100881</t>
  </si>
  <si>
    <t>Cart Coolie Agency Charges ( Recd.)</t>
  </si>
  <si>
    <t>G100275</t>
  </si>
  <si>
    <t>Cash In Hand</t>
  </si>
  <si>
    <t>G100277</t>
  </si>
  <si>
    <t>Central Bank Of India, Surat</t>
  </si>
  <si>
    <t>G101446</t>
  </si>
  <si>
    <t>CENTRAL W/H CORPN(IMPORT) TDS RCBL.</t>
  </si>
  <si>
    <t>G100769</t>
  </si>
  <si>
    <t>Champaklal M. Nanavati Huf</t>
  </si>
  <si>
    <t>G101489</t>
  </si>
  <si>
    <t>Chandrashekhar Baikar (LOAN A/C)</t>
  </si>
  <si>
    <t>G100770</t>
  </si>
  <si>
    <t>Chandulal G. Shah</t>
  </si>
  <si>
    <t>G101759</t>
  </si>
  <si>
    <t>Chetan Sawant (Loan A/c)</t>
  </si>
  <si>
    <t>G100843</t>
  </si>
  <si>
    <t>CHOLAMANDALAM - EICHER BUS LOAN</t>
  </si>
  <si>
    <t>G100844</t>
  </si>
  <si>
    <t>CHOLAMANDALAM - TATA SUMO LOAN ACCOUNT</t>
  </si>
  <si>
    <t>G100845</t>
  </si>
  <si>
    <t>CHOLAMANDALAM - ZEN LOAN ACCOUNT</t>
  </si>
  <si>
    <t>G101339</t>
  </si>
  <si>
    <t>CITI BANK TRUCK LAON -2699</t>
  </si>
  <si>
    <t>G101337</t>
  </si>
  <si>
    <t>CITI BANK TRUCK LOAN -2701</t>
  </si>
  <si>
    <t>G101297</t>
  </si>
  <si>
    <t>CITI BANK TRUCK LOAN MH06AC107</t>
  </si>
  <si>
    <t>G101338</t>
  </si>
  <si>
    <t>CITI BANK TRUCK LOAN- 2697</t>
  </si>
  <si>
    <t>G100846</t>
  </si>
  <si>
    <t>Citibank - BLB-123 Car Loan Account</t>
  </si>
  <si>
    <t>G100847</t>
  </si>
  <si>
    <t>Citibank - DAJ-2633 Loan Account</t>
  </si>
  <si>
    <t>G100848</t>
  </si>
  <si>
    <t>CITIBANK - ESTEEM LOAN ACCOUNT 1995</t>
  </si>
  <si>
    <t>G100849</t>
  </si>
  <si>
    <t>CITIBANK - ESTEEM LOAN ACCOUNT 1996</t>
  </si>
  <si>
    <t>G100850</t>
  </si>
  <si>
    <t>CITIBANK - ESTEEM LX - LOAN A/C.</t>
  </si>
  <si>
    <t>G100851</t>
  </si>
  <si>
    <t>Citibank - MAS-7108 Car Loan Account</t>
  </si>
  <si>
    <t>G100852</t>
  </si>
  <si>
    <t>Citibank - MFA-3106 Car Loan Account</t>
  </si>
  <si>
    <t>G100853</t>
  </si>
  <si>
    <t>Citibank - MFC-9346 Car Loan Account</t>
  </si>
  <si>
    <t>G100854</t>
  </si>
  <si>
    <t>Citibank GJ-1-K-778 Car Loan</t>
  </si>
  <si>
    <t>G100855</t>
  </si>
  <si>
    <t>Citibank MFC-1560 Car Loan</t>
  </si>
  <si>
    <t>G100166</t>
  </si>
  <si>
    <t>G101968</t>
  </si>
  <si>
    <t>CLEARING &amp; FORWARDING SERVICES</t>
  </si>
  <si>
    <t>G100342</t>
  </si>
  <si>
    <t>Co-op Bank (Fixed Deposit)</t>
  </si>
  <si>
    <t>G100744</t>
  </si>
  <si>
    <t>Co-Op Bank Of A`Bad Limited, Share</t>
  </si>
  <si>
    <t>G100745</t>
  </si>
  <si>
    <t>Co-op Bank Of A`Bad, Shares</t>
  </si>
  <si>
    <t>G100856</t>
  </si>
  <si>
    <t>Co-Op Bank Term Loan A/C</t>
  </si>
  <si>
    <t>G100278</t>
  </si>
  <si>
    <t>Co-Operative Bank, Bombay, B/D A/C</t>
  </si>
  <si>
    <t>G100279</t>
  </si>
  <si>
    <t>Co-Operative Bank,Bbay,Current A/C</t>
  </si>
  <si>
    <t>G100905</t>
  </si>
  <si>
    <t>Companies Family Pension Scheme</t>
  </si>
  <si>
    <t>G100636</t>
  </si>
  <si>
    <t>COMPUTER - 386 WITH LASER PRINTER &amp; FAX</t>
  </si>
  <si>
    <t>G100637</t>
  </si>
  <si>
    <t>COMPUTER - LAPTOP</t>
  </si>
  <si>
    <t>G100638</t>
  </si>
  <si>
    <t>COMPUTER - NT SERVER</t>
  </si>
  <si>
    <t>G100639</t>
  </si>
  <si>
    <t>COMPUTER - TERMINALS</t>
  </si>
  <si>
    <t>G100640</t>
  </si>
  <si>
    <t>COMPUTER - WEB SERVERS</t>
  </si>
  <si>
    <t>G100641</t>
  </si>
  <si>
    <t>Computer AT-486</t>
  </si>
  <si>
    <t>G100167</t>
  </si>
  <si>
    <t>G100643</t>
  </si>
  <si>
    <t>Computer PC XT</t>
  </si>
  <si>
    <t>G101343</t>
  </si>
  <si>
    <t>COMPUTERS (AMD)</t>
  </si>
  <si>
    <t>G101328</t>
  </si>
  <si>
    <t>COMPUTERS (GANDHIDHAM)</t>
  </si>
  <si>
    <t>G100168</t>
  </si>
  <si>
    <t>CONFERENCE EXPENSES</t>
  </si>
  <si>
    <t>G100169</t>
  </si>
  <si>
    <t>Consolidation Charges - Expense</t>
  </si>
  <si>
    <t>G101599</t>
  </si>
  <si>
    <t>Consolidation Charges - Income</t>
  </si>
  <si>
    <t>G101553</t>
  </si>
  <si>
    <t>CONTAINER CORN OF INDIA-DNG.TDS RCBL.</t>
  </si>
  <si>
    <t>G101450</t>
  </si>
  <si>
    <t>CONTAINER CORPN OF INDIA LTD,MULUND TDS</t>
  </si>
  <si>
    <t>G101573</t>
  </si>
  <si>
    <t>CONTAINER DEPOSIT WITH LINER/AGENTS</t>
  </si>
  <si>
    <t>G102018</t>
  </si>
  <si>
    <t>CONTAINER FABRICATION CHGS - Expenses</t>
  </si>
  <si>
    <t>G102017</t>
  </si>
  <si>
    <t>CONTAINER FABRICATION CHGS - Income</t>
  </si>
  <si>
    <t>G100170</t>
  </si>
  <si>
    <t>G101618</t>
  </si>
  <si>
    <t>Conveyance Charges - Income</t>
  </si>
  <si>
    <t>G101119</t>
  </si>
  <si>
    <t>G102080</t>
  </si>
  <si>
    <t>Corporate Overhead Expenses</t>
  </si>
  <si>
    <t>G100280</t>
  </si>
  <si>
    <t>Corporation Bank, Bombay</t>
  </si>
  <si>
    <t>G100907</t>
  </si>
  <si>
    <t>Council Fees Charges</t>
  </si>
  <si>
    <t>G100908</t>
  </si>
  <si>
    <t>G101619</t>
  </si>
  <si>
    <t>Courier Charges - Income</t>
  </si>
  <si>
    <t>G100171</t>
  </si>
  <si>
    <t>Crane &amp; Forklift Charges - Expense</t>
  </si>
  <si>
    <t>G101600</t>
  </si>
  <si>
    <t>Crane &amp; Forklift Charges - Income</t>
  </si>
  <si>
    <t>G100913</t>
  </si>
  <si>
    <t>Credit Balance Written Back</t>
  </si>
  <si>
    <t>G101218</t>
  </si>
  <si>
    <t>Creditors Revaluation A/c</t>
  </si>
  <si>
    <t>G100345</t>
  </si>
  <si>
    <t>Custom Deposit (Air)</t>
  </si>
  <si>
    <t>G100346</t>
  </si>
  <si>
    <t>Custom Deposit (Sea)</t>
  </si>
  <si>
    <t>G100236</t>
  </si>
  <si>
    <t>Custom Duty ( Sea &amp; Air )</t>
  </si>
  <si>
    <t>G100347</t>
  </si>
  <si>
    <t>Custom Security Deposit</t>
  </si>
  <si>
    <t>G100348</t>
  </si>
  <si>
    <t>CUSTOM SECURITY DEPOSIT (MADRAS)</t>
  </si>
  <si>
    <t>G100237</t>
  </si>
  <si>
    <t>Custom Warehouse Rent - Expense</t>
  </si>
  <si>
    <t>G101601</t>
  </si>
  <si>
    <t>Custom Warehouse Rent - Income</t>
  </si>
  <si>
    <t>G100349</t>
  </si>
  <si>
    <t>Customs Deposit ( Kandla )</t>
  </si>
  <si>
    <t>G100350</t>
  </si>
  <si>
    <t>CUSTOMS DEPOSIT (DELHI)</t>
  </si>
  <si>
    <t>G100644</t>
  </si>
  <si>
    <t>Cycles</t>
  </si>
  <si>
    <t>G100444</t>
  </si>
  <si>
    <t>D. B. Padhya</t>
  </si>
  <si>
    <t>G100425</t>
  </si>
  <si>
    <t>D. C. PARMAR</t>
  </si>
  <si>
    <t>G101729</t>
  </si>
  <si>
    <t>D. K. PAWAR</t>
  </si>
  <si>
    <t>G100449</t>
  </si>
  <si>
    <t>D. K. PAWAR(LOAN A/C.)</t>
  </si>
  <si>
    <t>G100173</t>
  </si>
  <si>
    <t>D. L. I. Fund</t>
  </si>
  <si>
    <t>G100912</t>
  </si>
  <si>
    <t>D. L. I. S.</t>
  </si>
  <si>
    <t>G100424</t>
  </si>
  <si>
    <t>D. N.JHA</t>
  </si>
  <si>
    <t>G101501</t>
  </si>
  <si>
    <t>DANA INDIA PVT. LTD(DEPOSIT A/C)</t>
  </si>
  <si>
    <t>G101040</t>
  </si>
  <si>
    <t>DAVEENA FAMILY TRUST (DEPOSIT A/C.)</t>
  </si>
  <si>
    <t>G100619</t>
  </si>
  <si>
    <t>DAVEENA FAMILY TRUST (SHARE A/C.)</t>
  </si>
  <si>
    <t>G101594</t>
  </si>
  <si>
    <t>DAVEENA JAY PATEL</t>
  </si>
  <si>
    <t>G100174</t>
  </si>
  <si>
    <t>Debit Balance Written Off</t>
  </si>
  <si>
    <t>G101004</t>
  </si>
  <si>
    <t>Debtors Revaluation A/c</t>
  </si>
  <si>
    <t>G101681</t>
  </si>
  <si>
    <t>Deepak Maity (Loan A/c)</t>
  </si>
  <si>
    <t>G101396</t>
  </si>
  <si>
    <t>DEFERRED TAX ASSET</t>
  </si>
  <si>
    <t>G100914</t>
  </si>
  <si>
    <t>DEFERRED TAX EXPENDITURE</t>
  </si>
  <si>
    <t>G100352</t>
  </si>
  <si>
    <t>Delhi Custom Licence Deposit</t>
  </si>
  <si>
    <t>G100915</t>
  </si>
  <si>
    <t>Delhi Office Expenses</t>
  </si>
  <si>
    <t>G100771</t>
  </si>
  <si>
    <t>Delhi Office Merzario</t>
  </si>
  <si>
    <t>G100353</t>
  </si>
  <si>
    <t>Delhi Office Rent Deposit</t>
  </si>
  <si>
    <t>G100175</t>
  </si>
  <si>
    <t>Delivery Sundries</t>
  </si>
  <si>
    <t>G100282</t>
  </si>
  <si>
    <t>Dena Bank, Bombay</t>
  </si>
  <si>
    <t>G101623</t>
  </si>
  <si>
    <t>Depletion in Value of Investments</t>
  </si>
  <si>
    <t>G102106</t>
  </si>
  <si>
    <t>Deposit - Service Tax (Appeal)</t>
  </si>
  <si>
    <t>G100354</t>
  </si>
  <si>
    <t>DEPOSIT FOR HOUSE (DELHI)</t>
  </si>
  <si>
    <t>G100355</t>
  </si>
  <si>
    <t>Deposit With BEST</t>
  </si>
  <si>
    <t>G100356</t>
  </si>
  <si>
    <t>DEPOSIT WITH G.P.O.</t>
  </si>
  <si>
    <t>G101902</t>
  </si>
  <si>
    <t>Deposit with Internet provider</t>
  </si>
  <si>
    <t>G101451</t>
  </si>
  <si>
    <t>Deposit with MSED</t>
  </si>
  <si>
    <t>G101580</t>
  </si>
  <si>
    <t>Deposit with Reliance Energy</t>
  </si>
  <si>
    <t>G100176</t>
  </si>
  <si>
    <t>Depreciation</t>
  </si>
  <si>
    <t>G102069</t>
  </si>
  <si>
    <t>Destination Trucking Charges</t>
  </si>
  <si>
    <t>G101565</t>
  </si>
  <si>
    <t>G101602</t>
  </si>
  <si>
    <t>Detention Charges - Income</t>
  </si>
  <si>
    <t>G100598</t>
  </si>
  <si>
    <t>DEUTSCHE MARK ##########################</t>
  </si>
  <si>
    <t>G100599</t>
  </si>
  <si>
    <t>DEUTSCHE MARK - AMERICAN EXPRESS A/C.</t>
  </si>
  <si>
    <t>G101041</t>
  </si>
  <si>
    <t>DEVANSHI FAMILY TRUST</t>
  </si>
  <si>
    <t>G101042</t>
  </si>
  <si>
    <t>Devanshi Nachi Patel (CURRENT A/C.)</t>
  </si>
  <si>
    <t>G100620</t>
  </si>
  <si>
    <t>Devanshi Nachi Patel (Share Capital)</t>
  </si>
  <si>
    <t>G101649</t>
  </si>
  <si>
    <t>DILIP BHOSLE</t>
  </si>
  <si>
    <t>G101661</t>
  </si>
  <si>
    <t>DILIP BHOSLE (Loan Account)</t>
  </si>
  <si>
    <t>G100883</t>
  </si>
  <si>
    <t>Diners Club Receivable Account</t>
  </si>
  <si>
    <t>G100772</t>
  </si>
  <si>
    <t>Dipak C. Desai</t>
  </si>
  <si>
    <t>G100773</t>
  </si>
  <si>
    <t>Dipti D. Gandhi</t>
  </si>
  <si>
    <t>G100177</t>
  </si>
  <si>
    <t>Discount &amp; Rebate</t>
  </si>
  <si>
    <t>G100918</t>
  </si>
  <si>
    <t>Dividend</t>
  </si>
  <si>
    <t>G100455</t>
  </si>
  <si>
    <t>Diwali Advance</t>
  </si>
  <si>
    <t>G100178</t>
  </si>
  <si>
    <t>Diwali Boni</t>
  </si>
  <si>
    <t>G101704</t>
  </si>
  <si>
    <t>Dnyanesh D Thorat</t>
  </si>
  <si>
    <t>G100238</t>
  </si>
  <si>
    <t>Dock Fee - Expense</t>
  </si>
  <si>
    <t>G101603</t>
  </si>
  <si>
    <t>Dock Fee - Income</t>
  </si>
  <si>
    <t>G100919</t>
  </si>
  <si>
    <t>Dock Sundries</t>
  </si>
  <si>
    <t>G100179</t>
  </si>
  <si>
    <t>G101555</t>
  </si>
  <si>
    <t>DOMNIC D`SOUZA(LOAN A/C.)</t>
  </si>
  <si>
    <t>G100180</t>
  </si>
  <si>
    <t>Donation</t>
  </si>
  <si>
    <t>G100600</t>
  </si>
  <si>
    <t>DUTCH GUILDER ##########################</t>
  </si>
  <si>
    <t>G100601</t>
  </si>
  <si>
    <t>DUTCH GUILDER - AMERICAN EXPRESS A/C.</t>
  </si>
  <si>
    <t>G100357</t>
  </si>
  <si>
    <t>Earnest Money Deposit</t>
  </si>
  <si>
    <t>G101583</t>
  </si>
  <si>
    <t>G100645</t>
  </si>
  <si>
    <t>Electric Instalation</t>
  </si>
  <si>
    <t>G101140</t>
  </si>
  <si>
    <t>G100182</t>
  </si>
  <si>
    <t>Emp. E. S. I. S. Contribution</t>
  </si>
  <si>
    <t>G100734</t>
  </si>
  <si>
    <t>Emp. F. P. Scheme</t>
  </si>
  <si>
    <t>G100735</t>
  </si>
  <si>
    <t>Emp. Income Tax</t>
  </si>
  <si>
    <t>G100736</t>
  </si>
  <si>
    <t>Emp. Insurance Charges</t>
  </si>
  <si>
    <t>G100737</t>
  </si>
  <si>
    <t>Emp. P. F.</t>
  </si>
  <si>
    <t>G100738</t>
  </si>
  <si>
    <t>Emp. P. F. Loan</t>
  </si>
  <si>
    <t>G100457</t>
  </si>
  <si>
    <t>EMPLOYEES P.P.F. ACCOUNT</t>
  </si>
  <si>
    <t>G101146</t>
  </si>
  <si>
    <t>ENTERTAINMENT EXPENSES</t>
  </si>
  <si>
    <t>G100646</t>
  </si>
  <si>
    <t>EPABX System - 8 X 24 Telephone Exchange</t>
  </si>
  <si>
    <t>G101284</t>
  </si>
  <si>
    <t>EQUIPMENTS - CARGO HANDLING</t>
  </si>
  <si>
    <t>G100358</t>
  </si>
  <si>
    <t>ESANDA FINANZ - DEPOSIT ACCOUNT</t>
  </si>
  <si>
    <t>G101527</t>
  </si>
  <si>
    <t>ESIC Employer Contribution Payable</t>
  </si>
  <si>
    <t>G101276</t>
  </si>
  <si>
    <t>ESIC EMPLOYERS CONTRIBUTION</t>
  </si>
  <si>
    <t>G101476</t>
  </si>
  <si>
    <t>ETIHAD AIRWAYS(SERVICE TAX RCBL)</t>
  </si>
  <si>
    <t>G100922</t>
  </si>
  <si>
    <t>Ex-gratia To Employees</t>
  </si>
  <si>
    <t>G100183</t>
  </si>
  <si>
    <t>Examination Expenses</t>
  </si>
  <si>
    <t>G100774</t>
  </si>
  <si>
    <t>Excel Traders,</t>
  </si>
  <si>
    <t>G100184</t>
  </si>
  <si>
    <t>EXCHANGE RATE DIFFERANCE</t>
  </si>
  <si>
    <t>G102077</t>
  </si>
  <si>
    <t>Export Detention Charges - Expenses</t>
  </si>
  <si>
    <t>G102089</t>
  </si>
  <si>
    <t>Export Detention Charges - Income</t>
  </si>
  <si>
    <t>G100359</t>
  </si>
  <si>
    <t>EXPORT INSPECTION AGENCY - P.D.A/C.</t>
  </si>
  <si>
    <t>G101022</t>
  </si>
  <si>
    <t>Export Lic. Fees</t>
  </si>
  <si>
    <t>G100185</t>
  </si>
  <si>
    <t>G101528</t>
  </si>
  <si>
    <t>Family Pension Payable</t>
  </si>
  <si>
    <t>G100647</t>
  </si>
  <si>
    <t>Fax Machine</t>
  </si>
  <si>
    <t>G100648</t>
  </si>
  <si>
    <t>FAX MACHINE (DELHI)</t>
  </si>
  <si>
    <t>G101375</t>
  </si>
  <si>
    <t>FAX MACHINE (GANDHIDHAM)</t>
  </si>
  <si>
    <t>G101404</t>
  </si>
  <si>
    <t>FBT (2007-2008 ASST.YEAR) PROVISION</t>
  </si>
  <si>
    <t>G101470</t>
  </si>
  <si>
    <t>FBT (2008-2009 ASST.YEAR) PROVISION</t>
  </si>
  <si>
    <t>G101595</t>
  </si>
  <si>
    <t>FBT (2009-2010 ASST.YEAR) PROVISION</t>
  </si>
  <si>
    <t>G100746</t>
  </si>
  <si>
    <t>FIXED DEPOSIT WITH ANZ (MY MONEY A/C.)</t>
  </si>
  <si>
    <t>G100747</t>
  </si>
  <si>
    <t>FIXED DEPOSIT WITH ANZ GRINDLAYS(RCF)</t>
  </si>
  <si>
    <t>G100748</t>
  </si>
  <si>
    <t>FIXED DEPOSIT WITH ANZ GRINDLAYS-(ONGC)</t>
  </si>
  <si>
    <t>G100649</t>
  </si>
  <si>
    <t>Flat At Juhu - A-104</t>
  </si>
  <si>
    <t>G100650</t>
  </si>
  <si>
    <t>FLAT AT PANVEL [ Nhava Sheva ]</t>
  </si>
  <si>
    <t>G102022</t>
  </si>
  <si>
    <t>FOB Charges - Income</t>
  </si>
  <si>
    <t>G100857</t>
  </si>
  <si>
    <t>FORD CREDIT MAHINDRA LTD.</t>
  </si>
  <si>
    <t>G100602</t>
  </si>
  <si>
    <t>FOREIGN CURRENCY - RUPEES ADJUSTMENT A/C</t>
  </si>
  <si>
    <t>G102031</t>
  </si>
  <si>
    <t>Forwarding Charges (Income)</t>
  </si>
  <si>
    <t>G100603</t>
  </si>
  <si>
    <t>FRENCH FRANC - AMERICAN EXPRESS A/C.</t>
  </si>
  <si>
    <t>G100604</t>
  </si>
  <si>
    <t>FRENCH FRANC - FFR #####################</t>
  </si>
  <si>
    <t>G101223</t>
  </si>
  <si>
    <t>FRINGE BENEFIT TAX (2006-2007 ASST.YEAR)</t>
  </si>
  <si>
    <t>G101282</t>
  </si>
  <si>
    <t>FRINGE BENEFIT TAX (2007-2008 ASST.YEAR)</t>
  </si>
  <si>
    <t>G101388</t>
  </si>
  <si>
    <t>FRINGE BENEFIT TAX (2008-2009 ASST.YEAR)</t>
  </si>
  <si>
    <t>G101461</t>
  </si>
  <si>
    <t>FRINGE BENEFIT TAX (2009-2010 ASST.YEAR)</t>
  </si>
  <si>
    <t>G101510</t>
  </si>
  <si>
    <t>FRINGE BENEFIT TAX (2010-2011 ASST.YEAR)</t>
  </si>
  <si>
    <t>G101185</t>
  </si>
  <si>
    <t>Fumigation Charges (Expense)</t>
  </si>
  <si>
    <t>G102032</t>
  </si>
  <si>
    <t>Fumigation Charges (Income)</t>
  </si>
  <si>
    <t>G100653</t>
  </si>
  <si>
    <t>Furniture &amp; Fixture</t>
  </si>
  <si>
    <t>G100652</t>
  </si>
  <si>
    <t>Furniture &amp; Fixture, A`Bad Office</t>
  </si>
  <si>
    <t>G100654</t>
  </si>
  <si>
    <t>Furniture &amp; Fixture, Delhi Office</t>
  </si>
  <si>
    <t>G100655</t>
  </si>
  <si>
    <t>Furniture &amp; Fixture, Kandla Office</t>
  </si>
  <si>
    <t>G101257</t>
  </si>
  <si>
    <t>Furniture &amp; Fixture, Madras</t>
  </si>
  <si>
    <t>G100656</t>
  </si>
  <si>
    <t>Furniture &amp; Fixture, Rex</t>
  </si>
  <si>
    <t>G101258</t>
  </si>
  <si>
    <t>Furniture &amp; Fixture, Tuticorin</t>
  </si>
  <si>
    <t>G100657</t>
  </si>
  <si>
    <t>Furniture &amp; Fixture,Ludhiana Office</t>
  </si>
  <si>
    <t>G101329</t>
  </si>
  <si>
    <t>FURNITURE &amp; FIXTURES (GANDHIDHAM)</t>
  </si>
  <si>
    <t>G101367</t>
  </si>
  <si>
    <t>FURNITURE AND FIXTURE [BLR]</t>
  </si>
  <si>
    <t>G100459</t>
  </si>
  <si>
    <t>G. G. Karalkar</t>
  </si>
  <si>
    <t>G100460</t>
  </si>
  <si>
    <t>G. N. Sawant</t>
  </si>
  <si>
    <t>G100462</t>
  </si>
  <si>
    <t>G. S. Natrajan(LOAN A/C.)</t>
  </si>
  <si>
    <t>G101308</t>
  </si>
  <si>
    <t>GANDHIDHAM OFFICE - CASH</t>
  </si>
  <si>
    <t>G100775</t>
  </si>
  <si>
    <t>Ganshyam Navinchandra Patel</t>
  </si>
  <si>
    <t>G100776</t>
  </si>
  <si>
    <t>Gargi Maheshkumar Trivedi</t>
  </si>
  <si>
    <t>G102171</t>
  </si>
  <si>
    <t>Gateway Distriparks Ltd (PD Ac-TDS Rcbl)</t>
  </si>
  <si>
    <t>G101790</t>
  </si>
  <si>
    <t>GAURESH PRABHU</t>
  </si>
  <si>
    <t>G100658</t>
  </si>
  <si>
    <t>Geep 7156</t>
  </si>
  <si>
    <t>G100777</t>
  </si>
  <si>
    <t>Geeta S. Kadakia</t>
  </si>
  <si>
    <t>G101037</t>
  </si>
  <si>
    <t>GENERAL RESERVES</t>
  </si>
  <si>
    <t>G100659</t>
  </si>
  <si>
    <t>GENERATOR SET AT DELHI</t>
  </si>
  <si>
    <t>G100660</t>
  </si>
  <si>
    <t>GENERATOR SET AT DRONAGIRI</t>
  </si>
  <si>
    <t>G100463</t>
  </si>
  <si>
    <t>GIRISH MR.</t>
  </si>
  <si>
    <t>G100360</t>
  </si>
  <si>
    <t>Godown Deposit</t>
  </si>
  <si>
    <t>G100187</t>
  </si>
  <si>
    <t>Godown Expenses</t>
  </si>
  <si>
    <t>G100188</t>
  </si>
  <si>
    <t>Godown Rent</t>
  </si>
  <si>
    <t>G101617</t>
  </si>
  <si>
    <t>Godown Rent - Income</t>
  </si>
  <si>
    <t>G100189</t>
  </si>
  <si>
    <t>Gratuity Cum Insurance</t>
  </si>
  <si>
    <t>G101913</t>
  </si>
  <si>
    <t>GST Central</t>
  </si>
  <si>
    <t>G101922</t>
  </si>
  <si>
    <t>GST Central (Paid by us)</t>
  </si>
  <si>
    <t>G101925</t>
  </si>
  <si>
    <t>GST Central- REV (Paid by us)</t>
  </si>
  <si>
    <t>G101919</t>
  </si>
  <si>
    <t>GST Central-OCEAN FRT</t>
  </si>
  <si>
    <t>G101928</t>
  </si>
  <si>
    <t>GST Central-OCEAN FRT(Paid by us)</t>
  </si>
  <si>
    <t>G102140</t>
  </si>
  <si>
    <t>GST Central-RAIL FRT</t>
  </si>
  <si>
    <t>G102143</t>
  </si>
  <si>
    <t>GST Central-RAIL Wagon</t>
  </si>
  <si>
    <t>G101916</t>
  </si>
  <si>
    <t>GST Central-TRANSPORT CHGS</t>
  </si>
  <si>
    <t>G102101</t>
  </si>
  <si>
    <t>GST Expenses (CR Reversal)</t>
  </si>
  <si>
    <t>G101912</t>
  </si>
  <si>
    <t>GST Integrated</t>
  </si>
  <si>
    <t>G101921</t>
  </si>
  <si>
    <t>GST Integrated (Paid by us)</t>
  </si>
  <si>
    <t>G101924</t>
  </si>
  <si>
    <t>GST Integrated- REV (Paid by us)</t>
  </si>
  <si>
    <t>G101918</t>
  </si>
  <si>
    <t>GST Integrated-OCEAN FRT</t>
  </si>
  <si>
    <t>G101927</t>
  </si>
  <si>
    <t>GST Integrated-OCEAN FRT(Paid by us)</t>
  </si>
  <si>
    <t>G102139</t>
  </si>
  <si>
    <t>GST Integrated-RAIL FRT</t>
  </si>
  <si>
    <t>G102142</t>
  </si>
  <si>
    <t>GST Integrated-RAIL Wagon</t>
  </si>
  <si>
    <t>G101915</t>
  </si>
  <si>
    <t>GST Integrated-TRANSPORT CHGS</t>
  </si>
  <si>
    <t>G101989</t>
  </si>
  <si>
    <t>GST PAYABLE</t>
  </si>
  <si>
    <t>G102166</t>
  </si>
  <si>
    <t>GST REFUND RECD</t>
  </si>
  <si>
    <t>G101914</t>
  </si>
  <si>
    <t>GST State</t>
  </si>
  <si>
    <t>G101923</t>
  </si>
  <si>
    <t>GST State (Paid by us)</t>
  </si>
  <si>
    <t>G101926</t>
  </si>
  <si>
    <t>GST State- REV (Paid by us)</t>
  </si>
  <si>
    <t>G101920</t>
  </si>
  <si>
    <t>GST State-OCEAN FRT</t>
  </si>
  <si>
    <t>G101929</t>
  </si>
  <si>
    <t>GST State-OCEAN FRT(Paid by us)</t>
  </si>
  <si>
    <t>G102141</t>
  </si>
  <si>
    <t>GST State-RAIL FRT</t>
  </si>
  <si>
    <t>G102144</t>
  </si>
  <si>
    <t>GST State-RAIL Wagon</t>
  </si>
  <si>
    <t>G101917</t>
  </si>
  <si>
    <t>GST State-TRANSPORT CHGS</t>
  </si>
  <si>
    <t>G100778</t>
  </si>
  <si>
    <t>H. D. Patel</t>
  </si>
  <si>
    <t>G100190</t>
  </si>
  <si>
    <t>G100779</t>
  </si>
  <si>
    <t>Hanshanti Investment Private Limited,</t>
  </si>
  <si>
    <t>G100780</t>
  </si>
  <si>
    <t>Harkisandas Jagjivandas</t>
  </si>
  <si>
    <t>G101803</t>
  </si>
  <si>
    <t>HDFC BANK A/C - CHN (50200010565843)</t>
  </si>
  <si>
    <t>G101798</t>
  </si>
  <si>
    <t>HDFC BANK EEFC EURO A/C - 50200006303640</t>
  </si>
  <si>
    <t>G101154</t>
  </si>
  <si>
    <t>HDFC BANK-AMD</t>
  </si>
  <si>
    <t>G101135</t>
  </si>
  <si>
    <t>HDFC BANK-GANDHIDHAM</t>
  </si>
  <si>
    <t>G101136</t>
  </si>
  <si>
    <t>HDFC BANK-NHAVA SHEVA</t>
  </si>
  <si>
    <t>G102000</t>
  </si>
  <si>
    <t>HDFC Car Loan TN 04 AU 8581</t>
  </si>
  <si>
    <t>G101747</t>
  </si>
  <si>
    <t>HDFC-FORT</t>
  </si>
  <si>
    <t>G101397</t>
  </si>
  <si>
    <t>HEAD OFFICE ACCOUNT</t>
  </si>
  <si>
    <t>G100661</t>
  </si>
  <si>
    <t>Head Office Premises</t>
  </si>
  <si>
    <t>G100924</t>
  </si>
  <si>
    <t>Health Insurance Scheme</t>
  </si>
  <si>
    <t>G101374</t>
  </si>
  <si>
    <t>Hema K. Tanna (Deposit)</t>
  </si>
  <si>
    <t>G100621</t>
  </si>
  <si>
    <t>Hema K. Tanna (share capital)</t>
  </si>
  <si>
    <t>G101804</t>
  </si>
  <si>
    <t>Hemant Kawle</t>
  </si>
  <si>
    <t>G100781</t>
  </si>
  <si>
    <t>Himatlal Keshavlal Shah</t>
  </si>
  <si>
    <t>G100191</t>
  </si>
  <si>
    <t>G100928</t>
  </si>
  <si>
    <t>HOUSE RENT.</t>
  </si>
  <si>
    <t>G100782</t>
  </si>
  <si>
    <t>Hukamchand Mill</t>
  </si>
  <si>
    <t>G100364</t>
  </si>
  <si>
    <t>I. A. A. I. (P.D.A/C.) DELHI</t>
  </si>
  <si>
    <t>G100365</t>
  </si>
  <si>
    <t>I. A. A. I. (P/D ACCOUNT) BOMBAY</t>
  </si>
  <si>
    <t>G100366</t>
  </si>
  <si>
    <t>I. A. A.I. Deposite</t>
  </si>
  <si>
    <t>G100290</t>
  </si>
  <si>
    <t>I. O. B., Ahmedabad</t>
  </si>
  <si>
    <t>G101997</t>
  </si>
  <si>
    <t>IATA - Etihad Airways (Deposit)</t>
  </si>
  <si>
    <t>G101410</t>
  </si>
  <si>
    <t>ICICI BANK - MH-43-R-6541 CAR LOAN</t>
  </si>
  <si>
    <t>G101231</t>
  </si>
  <si>
    <t>ICICI BANK - TRUCK 2701 LOAN</t>
  </si>
  <si>
    <t>G101230</t>
  </si>
  <si>
    <t>ICICI BANK - TRUCK TRUCK 2697,2699 LOAN</t>
  </si>
  <si>
    <t>G101300</t>
  </si>
  <si>
    <t>ICICI BANK HONDA CITY 0256 LOAN</t>
  </si>
  <si>
    <t>G100867</t>
  </si>
  <si>
    <t>ICICI BANK LTD (DELHI-XEROX M/C LOAN)</t>
  </si>
  <si>
    <t>G100868</t>
  </si>
  <si>
    <t>ICICI BANK LTD - MERCEDES CAR LOAN</t>
  </si>
  <si>
    <t>G101299</t>
  </si>
  <si>
    <t>ICICI BANK MH06AB 410 LOAN</t>
  </si>
  <si>
    <t>G101298</t>
  </si>
  <si>
    <t>ICICI BANK MH06AB 4945 LOAN</t>
  </si>
  <si>
    <t>G101433</t>
  </si>
  <si>
    <t>ICICI CAR LOAN - INNOVA - APR 2008</t>
  </si>
  <si>
    <t>G101435</t>
  </si>
  <si>
    <t>ICICI CAR LOAN-INDIGO XL-GRAND APR 2008</t>
  </si>
  <si>
    <t>G101894</t>
  </si>
  <si>
    <t>IDFC - INR CURRENT A/C</t>
  </si>
  <si>
    <t>G102164</t>
  </si>
  <si>
    <t>IDFC BANK - 10002343179 (EURO)</t>
  </si>
  <si>
    <t>G102145</t>
  </si>
  <si>
    <t>IDFC BANK - 10170394426</t>
  </si>
  <si>
    <t>G102146</t>
  </si>
  <si>
    <t>IDFC BANK - 10171017210 (USD)</t>
  </si>
  <si>
    <t>G101836</t>
  </si>
  <si>
    <t>IDFC BANK - Fixed Deposit</t>
  </si>
  <si>
    <t>G102163</t>
  </si>
  <si>
    <t>IDFC First Bank OD A/c - 10221977730</t>
  </si>
  <si>
    <t>G101352</t>
  </si>
  <si>
    <t>INCOME TAX (2007-08 ASST.YEAR) PROVISION</t>
  </si>
  <si>
    <t>G101353</t>
  </si>
  <si>
    <t>INCOME TAX (2008-09 ASST.YEAR) PROVISION</t>
  </si>
  <si>
    <t>G101516</t>
  </si>
  <si>
    <t>INCOME TAX (2009-10 ASST.YEAR) PROVISION</t>
  </si>
  <si>
    <t>G101621</t>
  </si>
  <si>
    <t>INCOME TAX (2010-11 ASST.YEAR) PROVISION</t>
  </si>
  <si>
    <t>G101666</t>
  </si>
  <si>
    <t>INCOME TAX (2011-12 ASST.YEAR) PROVISION</t>
  </si>
  <si>
    <t>G101706</t>
  </si>
  <si>
    <t>INCOME TAX (2012-13 ASST.YEAR) PROVISION</t>
  </si>
  <si>
    <t>G101740</t>
  </si>
  <si>
    <t>INCOME TAX (2013-14 ASST.YEAR) PROVISION</t>
  </si>
  <si>
    <t>G101781</t>
  </si>
  <si>
    <t>INCOME TAX (2014-15 ASST.YEAR) PROVISION</t>
  </si>
  <si>
    <t>G101866</t>
  </si>
  <si>
    <t>INCOME TAX (2015-16 ASST.YEAR) PROVISION</t>
  </si>
  <si>
    <t>G101867</t>
  </si>
  <si>
    <t>INCOME TAX (2016-17 ASST.YEAR) PROVISION</t>
  </si>
  <si>
    <t>G102040</t>
  </si>
  <si>
    <t>INCOME TAX (2017-18 ASST.YEAR) PROVISION</t>
  </si>
  <si>
    <t>G102007</t>
  </si>
  <si>
    <t>INCOME TAX (2018-19 ASST.YEAR) PROVISION</t>
  </si>
  <si>
    <t>G102039</t>
  </si>
  <si>
    <t>INCOME TAX (2019-20 ASST.YEAR) PROVISION</t>
  </si>
  <si>
    <t>G102086</t>
  </si>
  <si>
    <t>INCOME TAX (2020-21 ASST.YEAR) PROVISION</t>
  </si>
  <si>
    <t>G102104</t>
  </si>
  <si>
    <t>INCOME TAX (2021-22 ASST.YEAR) PROVISION</t>
  </si>
  <si>
    <t>G102119</t>
  </si>
  <si>
    <t>INCOME TAX (2022-23 ASST.YEAR) PROVISION</t>
  </si>
  <si>
    <t>G102135</t>
  </si>
  <si>
    <t>INCOME TAX (2023-24 ASST.YEAR) PROVISION</t>
  </si>
  <si>
    <t>G102154</t>
  </si>
  <si>
    <t>INCOME TAX (2024-25 ASST.YEAR) PROVISION</t>
  </si>
  <si>
    <t>G102170</t>
  </si>
  <si>
    <t>INCOME TAX (2025-26 ASST.YEAR) PROVISION</t>
  </si>
  <si>
    <t>G101517</t>
  </si>
  <si>
    <t>INCOME TAX -SELF. ASST.(2009-10 AST.YR)</t>
  </si>
  <si>
    <t>G101843</t>
  </si>
  <si>
    <t>INCOME TAX -SELF. ASST.(2015-16) AST.YR</t>
  </si>
  <si>
    <t>G101842</t>
  </si>
  <si>
    <t>INCOME TAX -SELF.ASST.(2011-12 AST.YR)</t>
  </si>
  <si>
    <t>G101743</t>
  </si>
  <si>
    <t>INCOME TAX -SELF.ASST.(2013-14 AST.YR)</t>
  </si>
  <si>
    <t>G101519</t>
  </si>
  <si>
    <t>INCOME TAX REFUND 2008-2009 ASST.YEAR</t>
  </si>
  <si>
    <t>G101626</t>
  </si>
  <si>
    <t>INCOME TAX REFUND 2009-2010 ASST.YEAR</t>
  </si>
  <si>
    <t>G101646</t>
  </si>
  <si>
    <t>INCOME TAX REFUND 2010-2011 ASST.YEAR</t>
  </si>
  <si>
    <t>G101691</t>
  </si>
  <si>
    <t>INCOME TAX REFUND 2011-2012 ASST.YEAR</t>
  </si>
  <si>
    <t>G101761</t>
  </si>
  <si>
    <t>INCOME TAX REFUND 2012-2013 ASST.YEAR</t>
  </si>
  <si>
    <t>G101783</t>
  </si>
  <si>
    <t>INCOME TAX REFUND 2013-2014 ASST.YEAR</t>
  </si>
  <si>
    <t>G101898</t>
  </si>
  <si>
    <t>INCOME TAX REFUND 2014-2015 ASST.YEAR</t>
  </si>
  <si>
    <t>G102029</t>
  </si>
  <si>
    <t>INCOME TAX REFUND 2015-2016 ASST.YEAR</t>
  </si>
  <si>
    <t>G101900</t>
  </si>
  <si>
    <t>INCOME TAX REFUND 2016-2017 ASST.YEAR</t>
  </si>
  <si>
    <t>G102019</t>
  </si>
  <si>
    <t>INCOME TAX REFUND 2017-2018 ASST.YEAR</t>
  </si>
  <si>
    <t>G102083</t>
  </si>
  <si>
    <t>INCOME TAX REFUND 2018-2019 ASST.YEAR</t>
  </si>
  <si>
    <t>G102088</t>
  </si>
  <si>
    <t>INCOME TAX REFUND 2019-2020 ASST.YEAR</t>
  </si>
  <si>
    <t>G102096</t>
  </si>
  <si>
    <t>INCOME TAX REFUND 2020-2021 ASST.YEAR</t>
  </si>
  <si>
    <t>G102126</t>
  </si>
  <si>
    <t>INCOME TAX REFUND 2021-2022 ASST.YEAR</t>
  </si>
  <si>
    <t>G102127</t>
  </si>
  <si>
    <t>INCOME TAX REFUND 2022-2023 ASST.YEAR</t>
  </si>
  <si>
    <t>G102147</t>
  </si>
  <si>
    <t>INCOME TAX REFUND 2023-2024 ASST.YEAR</t>
  </si>
  <si>
    <t>G102165</t>
  </si>
  <si>
    <t>INCOME TAX REFUND 2024-2025 ASST.YEAR</t>
  </si>
  <si>
    <t>G100884</t>
  </si>
  <si>
    <t>Incorporation Expenses</t>
  </si>
  <si>
    <t>G100291</t>
  </si>
  <si>
    <t>Indian Bank, Bombay</t>
  </si>
  <si>
    <t>G100292</t>
  </si>
  <si>
    <t>Indian Overseas Bank, Bombay</t>
  </si>
  <si>
    <t>G100367</t>
  </si>
  <si>
    <t>Indian Post &amp; Telegram Deposit</t>
  </si>
  <si>
    <t>G100368</t>
  </si>
  <si>
    <t>INDIRA DOCK,TRAFFIC MANAGER MUMBAI PORT</t>
  </si>
  <si>
    <t>G100885</t>
  </si>
  <si>
    <t>Indira Vijaysinh</t>
  </si>
  <si>
    <t>G100783</t>
  </si>
  <si>
    <t>Indumati R. Shah</t>
  </si>
  <si>
    <t>G100192</t>
  </si>
  <si>
    <t>Insurance Charges</t>
  </si>
  <si>
    <t>G101124</t>
  </si>
  <si>
    <t>Insurance Charges Recoverable - Expense</t>
  </si>
  <si>
    <t>G101605</t>
  </si>
  <si>
    <t>Insurance Charges Recoverable - Income</t>
  </si>
  <si>
    <t>G100929</t>
  </si>
  <si>
    <t>INSURANCE CHARGES(KEYMAN POLICY)</t>
  </si>
  <si>
    <t>G100331</t>
  </si>
  <si>
    <t>Insurance Claim</t>
  </si>
  <si>
    <t>G101090</t>
  </si>
  <si>
    <t>Interest (Accrued on FDRs)</t>
  </si>
  <si>
    <t>G101155</t>
  </si>
  <si>
    <t>INTEREST (OTHERS)</t>
  </si>
  <si>
    <t>G100193</t>
  </si>
  <si>
    <t>Interest Charges</t>
  </si>
  <si>
    <t>G101532</t>
  </si>
  <si>
    <t>Interest on Term Loan</t>
  </si>
  <si>
    <t>G101531</t>
  </si>
  <si>
    <t>Interest on Vehicle Loan</t>
  </si>
  <si>
    <t>G101551</t>
  </si>
  <si>
    <t>Interest Recieved</t>
  </si>
  <si>
    <t>G100930</t>
  </si>
  <si>
    <t>Interest To Partners</t>
  </si>
  <si>
    <t>G100931</t>
  </si>
  <si>
    <t>INTERIM RELIEF TO STAFF</t>
  </si>
  <si>
    <t>G101125</t>
  </si>
  <si>
    <t>G100194</t>
  </si>
  <si>
    <t>INTERNET &amp; EDI EXPENSES - Income</t>
  </si>
  <si>
    <t>G101253</t>
  </si>
  <si>
    <t>G100605</t>
  </si>
  <si>
    <t>ITALIAN LIRA ###########################</t>
  </si>
  <si>
    <t>G100606</t>
  </si>
  <si>
    <t>ITALIAN LIRA - AMERICAN EXPRESS A/C.</t>
  </si>
  <si>
    <t>G100473</t>
  </si>
  <si>
    <t>J. A. REPALE</t>
  </si>
  <si>
    <t>G100253</t>
  </si>
  <si>
    <t>J. B. Patel, Fixed Capital</t>
  </si>
  <si>
    <t>G100245</t>
  </si>
  <si>
    <t>J. P. FREIGHT FORWARDERS</t>
  </si>
  <si>
    <t>G100470</t>
  </si>
  <si>
    <t>JAGDISH VASANT SALVI</t>
  </si>
  <si>
    <t>G100471</t>
  </si>
  <si>
    <t>Jal Security</t>
  </si>
  <si>
    <t>G100607</t>
  </si>
  <si>
    <t>JAPANESE YEN ###########################</t>
  </si>
  <si>
    <t>G100608</t>
  </si>
  <si>
    <t>JAPANESE YEN - AMERICAN EXPRESS A/C.</t>
  </si>
  <si>
    <t>G100622</t>
  </si>
  <si>
    <t>Jay B. Patel</t>
  </si>
  <si>
    <t>G101043</t>
  </si>
  <si>
    <t>Jay Bipin Patel</t>
  </si>
  <si>
    <t>G100623</t>
  </si>
  <si>
    <t>Jayesh M. Marfatia (Share Capital)</t>
  </si>
  <si>
    <t>G101044</t>
  </si>
  <si>
    <t>Jayesh Manubhai Marfatia</t>
  </si>
  <si>
    <t>G100784</t>
  </si>
  <si>
    <t>Jayur V. Patel</t>
  </si>
  <si>
    <t>G101529</t>
  </si>
  <si>
    <t>JEENA &amp; CO.(DEPOSIT A/C.)</t>
  </si>
  <si>
    <t>G100475</t>
  </si>
  <si>
    <t>JITENDRA SHARMA</t>
  </si>
  <si>
    <t>G100476</t>
  </si>
  <si>
    <t>John Michael Lopes</t>
  </si>
  <si>
    <t>G100477</t>
  </si>
  <si>
    <t>Jolly Emerson</t>
  </si>
  <si>
    <t>G101897</t>
  </si>
  <si>
    <t>JOLLY EMERSON (LOAN A/C)</t>
  </si>
  <si>
    <t>G100293</t>
  </si>
  <si>
    <t>Jullunder Office</t>
  </si>
  <si>
    <t>G100932</t>
  </si>
  <si>
    <t>Jullunder Office Expenses</t>
  </si>
  <si>
    <t>G102162</t>
  </si>
  <si>
    <t>JWR Logistics Pvt Ltd (PD Ac - TDS Rcbl)</t>
  </si>
  <si>
    <t>G100429</t>
  </si>
  <si>
    <t>K. B. CHIKANE</t>
  </si>
  <si>
    <t>G101677</t>
  </si>
  <si>
    <t>K. B. Chikane (Loan A/c)</t>
  </si>
  <si>
    <t>G100478</t>
  </si>
  <si>
    <t>K. B. LOKHANDE</t>
  </si>
  <si>
    <t>G100479</t>
  </si>
  <si>
    <t>K. B. Pawar</t>
  </si>
  <si>
    <t>G100480</t>
  </si>
  <si>
    <t>K. C. Dave</t>
  </si>
  <si>
    <t>G100484</t>
  </si>
  <si>
    <t>K. G. Kondare</t>
  </si>
  <si>
    <t>G100499</t>
  </si>
  <si>
    <t>K. J. SHAH</t>
  </si>
  <si>
    <t>G100369</t>
  </si>
  <si>
    <t>K. K. Panchal &amp; Sons.</t>
  </si>
  <si>
    <t>G100785</t>
  </si>
  <si>
    <t>K. M. Bandiwdekar</t>
  </si>
  <si>
    <t>G100786</t>
  </si>
  <si>
    <t>K. S. Jagtiani</t>
  </si>
  <si>
    <t>G100787</t>
  </si>
  <si>
    <t>Kaladevi Arvindprasad Mahadevia</t>
  </si>
  <si>
    <t>G101511</t>
  </si>
  <si>
    <t>KALPESH PANDIT(LOAN A/C.)</t>
  </si>
  <si>
    <t>G100370</t>
  </si>
  <si>
    <t>Kalpita Electronic</t>
  </si>
  <si>
    <t>G100371</t>
  </si>
  <si>
    <t>Kandla Custom Deposit</t>
  </si>
  <si>
    <t>G100933</t>
  </si>
  <si>
    <t>Kandla Expenses</t>
  </si>
  <si>
    <t>G100493</t>
  </si>
  <si>
    <t>Kandla Office</t>
  </si>
  <si>
    <t>G100934</t>
  </si>
  <si>
    <t>Kandla Office Expenses</t>
  </si>
  <si>
    <t>G100372</t>
  </si>
  <si>
    <t>Kandla Office Rent Deposit</t>
  </si>
  <si>
    <t>G100788</t>
  </si>
  <si>
    <t>Kankuben Bhuleshwar</t>
  </si>
  <si>
    <t>G100789</t>
  </si>
  <si>
    <t>Kantilal S. Patel</t>
  </si>
  <si>
    <t>G100494</t>
  </si>
  <si>
    <t>KAVITA R. TALPADE</t>
  </si>
  <si>
    <t>G100373</t>
  </si>
  <si>
    <t>Kelbro Fabrics,</t>
  </si>
  <si>
    <t>G100790</t>
  </si>
  <si>
    <t>Kentan Champaklal Nanavati</t>
  </si>
  <si>
    <t>G100791</t>
  </si>
  <si>
    <t>Ketan Niranjan Shah</t>
  </si>
  <si>
    <t>G100662</t>
  </si>
  <si>
    <t>Kinetic Honda - MH-01-C-1933</t>
  </si>
  <si>
    <t>G100792</t>
  </si>
  <si>
    <t>Kiran A. Desai</t>
  </si>
  <si>
    <t>G100793</t>
  </si>
  <si>
    <t>Kiran K. Patel</t>
  </si>
  <si>
    <t>G100794</t>
  </si>
  <si>
    <t>Kishorchandra K. Kothari</t>
  </si>
  <si>
    <t>G101475</t>
  </si>
  <si>
    <t>KLM  AIRLINE(SERVICE TAX RCBL)</t>
  </si>
  <si>
    <t>G101786</t>
  </si>
  <si>
    <t>KOKAN ENGG WORKS (DEPOSIT A/C)</t>
  </si>
  <si>
    <t>G101811</t>
  </si>
  <si>
    <t>Kondibhau Gadge</t>
  </si>
  <si>
    <t>G102049</t>
  </si>
  <si>
    <t>KONDIBHAU GADGE - LOAN A/C</t>
  </si>
  <si>
    <t>G101773</t>
  </si>
  <si>
    <t>KOTAK - LOAN - TRUCK TN-22-CQ-2914</t>
  </si>
  <si>
    <t>G100374</t>
  </si>
  <si>
    <t>KOTAK MAHINDRA BANK LTD. (DEPOSIT)</t>
  </si>
  <si>
    <t>G102159</t>
  </si>
  <si>
    <t>Kotak Mahindra Car Loan MH-01-ER-7080</t>
  </si>
  <si>
    <t>G101722</t>
  </si>
  <si>
    <t>Kotak Mahindra Car Loan MH-46-W-6316</t>
  </si>
  <si>
    <t>G101730</t>
  </si>
  <si>
    <t>Kotak Mahindra Car Loan MH-46-X-392</t>
  </si>
  <si>
    <t>G101731</t>
  </si>
  <si>
    <t>Kotak Mahindra Car Loan MH-46-X-864</t>
  </si>
  <si>
    <t>G100869</t>
  </si>
  <si>
    <t>KOTAK MAHINDRA FINANCE LIMITED</t>
  </si>
  <si>
    <t>G101488</t>
  </si>
  <si>
    <t>KOTAK MAHINDRA PRIME LTD-MH-43-X-3459</t>
  </si>
  <si>
    <t>G100870</t>
  </si>
  <si>
    <t>KOTAK MAHINDRA PRIMUS LTD.</t>
  </si>
  <si>
    <t>G101301</t>
  </si>
  <si>
    <t>KOTAK MAHINDRABANK LTD. (JMM)</t>
  </si>
  <si>
    <t>G100375</t>
  </si>
  <si>
    <t>Kpt Rent</t>
  </si>
  <si>
    <t>G101500</t>
  </si>
  <si>
    <t>KRISHAK BHARATI CO-OP LTD.(DEPOSIT A/C.)</t>
  </si>
  <si>
    <t>G101794</t>
  </si>
  <si>
    <t>KRISHNA S SHINDE</t>
  </si>
  <si>
    <t>G102050</t>
  </si>
  <si>
    <t>KRISHNA SHINDE - LOAN A/C</t>
  </si>
  <si>
    <t>G100795</t>
  </si>
  <si>
    <t>Krutika Clothes ( Deposit Account )</t>
  </si>
  <si>
    <t>G101029</t>
  </si>
  <si>
    <t>Kum. Amee V. Patel</t>
  </si>
  <si>
    <t>G101030</t>
  </si>
  <si>
    <t>Kum. Dipali V. Patel</t>
  </si>
  <si>
    <t>G100502</t>
  </si>
  <si>
    <t>L. P. POOJARY</t>
  </si>
  <si>
    <t>G101478</t>
  </si>
  <si>
    <t>L. S. Talekar</t>
  </si>
  <si>
    <t>G100503</t>
  </si>
  <si>
    <t>L. S. Talekar(LOAN A/C.)</t>
  </si>
  <si>
    <t>G100195</t>
  </si>
  <si>
    <t>Labour Charges - Expense</t>
  </si>
  <si>
    <t>G101606</t>
  </si>
  <si>
    <t>G102121</t>
  </si>
  <si>
    <t>LACHMANDAS SAW MILLS (DEPOSIT A/C)</t>
  </si>
  <si>
    <t>G101972</t>
  </si>
  <si>
    <t>LALJIBHAI DESAI LOAN A/C</t>
  </si>
  <si>
    <t>G101664</t>
  </si>
  <si>
    <t>Land at Tirupur - Freehold</t>
  </si>
  <si>
    <t>G101584</t>
  </si>
  <si>
    <t>LAND AT TIRUPUR - WIP</t>
  </si>
  <si>
    <t>G102071</t>
  </si>
  <si>
    <t>LATE BL FEES - EXPENSES</t>
  </si>
  <si>
    <t>G102095</t>
  </si>
  <si>
    <t>LATE BL FEES - INCOME</t>
  </si>
  <si>
    <t>G102072</t>
  </si>
  <si>
    <t>LATE SI SUBMISSION CHGS - Exp</t>
  </si>
  <si>
    <t>G102092</t>
  </si>
  <si>
    <t>LATE SI SUBMISSION CHGS - Income</t>
  </si>
  <si>
    <t>G101545</t>
  </si>
  <si>
    <t>Lease Hold Land Plot 32 C</t>
  </si>
  <si>
    <t>G101544</t>
  </si>
  <si>
    <t>Lease Hold Land Plot 32 D</t>
  </si>
  <si>
    <t>G100196</t>
  </si>
  <si>
    <t>Leave Salary</t>
  </si>
  <si>
    <t>G100197</t>
  </si>
  <si>
    <t>Legal &amp; Professional Fee</t>
  </si>
  <si>
    <t>G101757</t>
  </si>
  <si>
    <t>LEON D THOMAS</t>
  </si>
  <si>
    <t>G101844</t>
  </si>
  <si>
    <t>LICENCE FEE (G101844)</t>
  </si>
  <si>
    <t>G101869</t>
  </si>
  <si>
    <t>LICENCE FEE (G101869)</t>
  </si>
  <si>
    <t>G100663</t>
  </si>
  <si>
    <t>LIFT PLATFORM</t>
  </si>
  <si>
    <t>G101031</t>
  </si>
  <si>
    <t>Lilavati M. Patel</t>
  </si>
  <si>
    <t>G100505</t>
  </si>
  <si>
    <t>M. B. Dhuria</t>
  </si>
  <si>
    <t>G100796</t>
  </si>
  <si>
    <t>M. C. Marfatia,</t>
  </si>
  <si>
    <t>G101032</t>
  </si>
  <si>
    <t>M. H. Patel, Huf</t>
  </si>
  <si>
    <t>G101414</t>
  </si>
  <si>
    <t>M. K. PARMAR</t>
  </si>
  <si>
    <t>G101813</t>
  </si>
  <si>
    <t>M.JOSEPH DIVAGARAN</t>
  </si>
  <si>
    <t>G102051</t>
  </si>
  <si>
    <t>MACHHINDRA A. KHEDKAR - LOAN A/C</t>
  </si>
  <si>
    <t>G100624</t>
  </si>
  <si>
    <t>Madhukar Bandiwdekar (Mrs. Shantabai)</t>
  </si>
  <si>
    <t>G100254</t>
  </si>
  <si>
    <t>Madhukar T. Bandiwdekar</t>
  </si>
  <si>
    <t>G102148</t>
  </si>
  <si>
    <t>MAHALAXMI TRANSPORT &amp; LOGISTICS(DEPOSIT)</t>
  </si>
  <si>
    <t>G101310</t>
  </si>
  <si>
    <t>Maharashtra Labour Welfare Tax</t>
  </si>
  <si>
    <t>G102011</t>
  </si>
  <si>
    <t>MAHARASHTRA PIPE DISTRIBUTOR-DEPOSIT A/C</t>
  </si>
  <si>
    <t>G102114</t>
  </si>
  <si>
    <t>MAHAVIR PILE FOUNDATION (DEPOSIT A/C)</t>
  </si>
  <si>
    <t>G102076</t>
  </si>
  <si>
    <t>MAHENDER LALLA</t>
  </si>
  <si>
    <t>G100797</t>
  </si>
  <si>
    <t>Mahendra N. Shah</t>
  </si>
  <si>
    <t>G100519</t>
  </si>
  <si>
    <t>MAHESH PASI</t>
  </si>
  <si>
    <t>G100376</t>
  </si>
  <si>
    <t>MAHINDRA FORD INDIA LIMITED</t>
  </si>
  <si>
    <t>G100377</t>
  </si>
  <si>
    <t>MAHINDRA UGINE STEEL CO. LTD.-DEPOSIT AC</t>
  </si>
  <si>
    <t>G100887</t>
  </si>
  <si>
    <t>Manilal Patel &amp; Co., ( Ready )</t>
  </si>
  <si>
    <t>G100888</t>
  </si>
  <si>
    <t>Manilal Patel &amp; Sons,</t>
  </si>
  <si>
    <t>G100246</t>
  </si>
  <si>
    <t>MANILAL PATEL C.F.(AHMEDABAD) PVT. LTD.</t>
  </si>
  <si>
    <t>G100247</t>
  </si>
  <si>
    <t>MANILAL PATEL C.F.(BANGALORE) PVT.LTD.</t>
  </si>
  <si>
    <t>G100248</t>
  </si>
  <si>
    <t>MANILAL PATEL C.F.(MADRAS) PVT. LTD.</t>
  </si>
  <si>
    <t>G100889</t>
  </si>
  <si>
    <t>Manilal Patel Corporation</t>
  </si>
  <si>
    <t>G100250</t>
  </si>
  <si>
    <t>Manilal Patel Freight services Pvt. ltd.</t>
  </si>
  <si>
    <t>G100890</t>
  </si>
  <si>
    <t>Manilal Patel Private Limited.,</t>
  </si>
  <si>
    <t>G101750</t>
  </si>
  <si>
    <t>MANOHAR BENDKALE (Adv for Expense)</t>
  </si>
  <si>
    <t>G100522</t>
  </si>
  <si>
    <t>MANOHAR BENDKALE (Loan A/c)</t>
  </si>
  <si>
    <t>G101752</t>
  </si>
  <si>
    <t>MANOHAR KAMTHE (Adv.for Expenses)</t>
  </si>
  <si>
    <t>G101647</t>
  </si>
  <si>
    <t>MANOHAR KAMTHE (Loan A/c)</t>
  </si>
  <si>
    <t>G101627</t>
  </si>
  <si>
    <t>MANOJ KOLI (LOAN A/C)</t>
  </si>
  <si>
    <t>G100294</t>
  </si>
  <si>
    <t>Maratha Marketing People, Bombay</t>
  </si>
  <si>
    <t>G100871</t>
  </si>
  <si>
    <t>MARITIME ENGINEERING (I) PVT. LTD.</t>
  </si>
  <si>
    <t>G100378</t>
  </si>
  <si>
    <t>Maruti Car Deposit</t>
  </si>
  <si>
    <t>G101806</t>
  </si>
  <si>
    <t>Maruti Chopde</t>
  </si>
  <si>
    <t>G100664</t>
  </si>
  <si>
    <t>Maruti Van</t>
  </si>
  <si>
    <t>G101868</t>
  </si>
  <si>
    <t>MAT CR ENTITLEMENT (A.Y.2016-17)</t>
  </si>
  <si>
    <t>G102041</t>
  </si>
  <si>
    <t>MAT CR ENTITLEMENT (A.Y.2017-18)</t>
  </si>
  <si>
    <t>G102008</t>
  </si>
  <si>
    <t>MAT CR ENTITLEMENT (A.Y.2018-19)</t>
  </si>
  <si>
    <t>G102038</t>
  </si>
  <si>
    <t>MAT CR ENTITLEMENT (A.Y.2019-20)</t>
  </si>
  <si>
    <t>G102085</t>
  </si>
  <si>
    <t>MAT CR ENTITLEMENT (A.Y.2020-21)</t>
  </si>
  <si>
    <t>G102103</t>
  </si>
  <si>
    <t>MAT CR ENTITLEMENT (A.Y.2021-22)</t>
  </si>
  <si>
    <t>G102118</t>
  </si>
  <si>
    <t>MAT CR ENTITLEMENT (A.Y.2022-23)</t>
  </si>
  <si>
    <t>G102136</t>
  </si>
  <si>
    <t>MAT CR ENTITLEMENT (A.Y.2023-24)</t>
  </si>
  <si>
    <t>G102168</t>
  </si>
  <si>
    <t>MAT CR ENTITLEMENT (A.Y.2024-25)</t>
  </si>
  <si>
    <t>G102169</t>
  </si>
  <si>
    <t>MAT CR ENTITLEMENT (A.Y.2025-26)</t>
  </si>
  <si>
    <t>G101749</t>
  </si>
  <si>
    <t>MATUSHRI LILAVATI &amp; BMP PUBLIC CH.TRUST</t>
  </si>
  <si>
    <t>G100198</t>
  </si>
  <si>
    <t>Medical Benefit To Staff</t>
  </si>
  <si>
    <t>G101033</t>
  </si>
  <si>
    <t>Meera V. Patel</t>
  </si>
  <si>
    <t>G102132</t>
  </si>
  <si>
    <t>MEHRUNNISHA KHAN (DEPOSIT A/C)</t>
  </si>
  <si>
    <t>G101780</t>
  </si>
  <si>
    <t>MENZIES AVIATION BOBBA BLR-TDS RCBL</t>
  </si>
  <si>
    <t>G101444</t>
  </si>
  <si>
    <t>MERAJ SHAIKH(LOAN A/C)</t>
  </si>
  <si>
    <t>G101496</t>
  </si>
  <si>
    <t>MIAL-(EXPORT) TDS RCBL</t>
  </si>
  <si>
    <t>G101495</t>
  </si>
  <si>
    <t>MIAL-(IMPORT) TDS RCBL</t>
  </si>
  <si>
    <t>G100239</t>
  </si>
  <si>
    <t>G101607</t>
  </si>
  <si>
    <t>G102026</t>
  </si>
  <si>
    <t>Misc.  Charges - Income</t>
  </si>
  <si>
    <t>G102025</t>
  </si>
  <si>
    <t>Misc. Charges - Expense</t>
  </si>
  <si>
    <t>G101533</t>
  </si>
  <si>
    <t>Miscellaneous Income</t>
  </si>
  <si>
    <t>G101685</t>
  </si>
  <si>
    <t>Mishrilal H. Mobarsa (Loan A/c)</t>
  </si>
  <si>
    <t>G100524</t>
  </si>
  <si>
    <t>MISS. PRAFULLATA ROHIDAS RAOTE</t>
  </si>
  <si>
    <t>G100665</t>
  </si>
  <si>
    <t>MOBILE PHONES</t>
  </si>
  <si>
    <t>G100872</t>
  </si>
  <si>
    <t>MODI-XEROX MACHINE LOAN ACCOUNT</t>
  </si>
  <si>
    <t>G102021</t>
  </si>
  <si>
    <t>MOHAN GURAV</t>
  </si>
  <si>
    <t>G101800</t>
  </si>
  <si>
    <t>Mohan Gurav - Loan A/c</t>
  </si>
  <si>
    <t>G100798</t>
  </si>
  <si>
    <t>Mona A. Desai</t>
  </si>
  <si>
    <t>G100666</t>
  </si>
  <si>
    <t>MOPED(KINETIC SAFARI) DL-28-J-7004 - RCL</t>
  </si>
  <si>
    <t>G101766</t>
  </si>
  <si>
    <t>MOTOR BIKE - BAJAJ PLATINA (MH46AA8097)</t>
  </si>
  <si>
    <t>G101767</t>
  </si>
  <si>
    <t>MOTOR BIKE - GJ12AM1796</t>
  </si>
  <si>
    <t>G100667</t>
  </si>
  <si>
    <t>Motor Car (Maruti Van) DAJ-2633 (Delhi)</t>
  </si>
  <si>
    <t>G100668</t>
  </si>
  <si>
    <t>Motor Car (Maruti) MAS 7108</t>
  </si>
  <si>
    <t>G101137</t>
  </si>
  <si>
    <t>MOTOR CAR - CHAVEROLET TAVERA</t>
  </si>
  <si>
    <t>G100670</t>
  </si>
  <si>
    <t>MOTOR CAR - FIAT-137D - DIESEL</t>
  </si>
  <si>
    <t>G100873</t>
  </si>
  <si>
    <t>MOTOR CAR - FIAT-137D - LOAN (FINANZ)</t>
  </si>
  <si>
    <t>G100671</t>
  </si>
  <si>
    <t>MOTOR CAR - FORD ESCORT</t>
  </si>
  <si>
    <t>G100672</t>
  </si>
  <si>
    <t>MOTOR CAR - FORD ESCORT (DELHI)</t>
  </si>
  <si>
    <t>G100673</t>
  </si>
  <si>
    <t>MOTOR CAR - FORD ESCORT - II (JAYESH)</t>
  </si>
  <si>
    <t>G102167</t>
  </si>
  <si>
    <t>Motor Car - Grand Vitara (MH-01-ER-7080)</t>
  </si>
  <si>
    <t>G102151</t>
  </si>
  <si>
    <t>Motor Car - Grand Vitara (MH01ER7080)</t>
  </si>
  <si>
    <t>G100674</t>
  </si>
  <si>
    <t>MOTOR CAR - HONDA</t>
  </si>
  <si>
    <t>G100675</t>
  </si>
  <si>
    <t>MOTOR CAR - MARUTI 800  - YEAR 1993</t>
  </si>
  <si>
    <t>G100676</t>
  </si>
  <si>
    <t>MOTOR CAR - MARUTI 800 MH-12-PA 5477(NPS</t>
  </si>
  <si>
    <t>G100677</t>
  </si>
  <si>
    <t>MOTOR CAR - MARUTI ESTEEM - 1995</t>
  </si>
  <si>
    <t>G100678</t>
  </si>
  <si>
    <t>MOTOR CAR - MARUTI ESTEEM - 1996</t>
  </si>
  <si>
    <t>G100679</t>
  </si>
  <si>
    <t>MOTOR CAR - MARUTI ZEN - BOMBAY</t>
  </si>
  <si>
    <t>G100680</t>
  </si>
  <si>
    <t>MOTOR CAR - MARUTI ZEN - DELHI</t>
  </si>
  <si>
    <t>G100681</t>
  </si>
  <si>
    <t>MOTOR CAR - MARUTI ZEN 1997</t>
  </si>
  <si>
    <t>G100682</t>
  </si>
  <si>
    <t>MOTOR CAR - MARUTI ZEN AUTOMATIC</t>
  </si>
  <si>
    <t>G100683</t>
  </si>
  <si>
    <t>Motor Car - Maruti-1000 GJ-1-K-779</t>
  </si>
  <si>
    <t>G101376</t>
  </si>
  <si>
    <t>MOTOR CAR - MERCEDEZ MH 43 L 667</t>
  </si>
  <si>
    <t>G100669</t>
  </si>
  <si>
    <t>MOTOR CAR - MFA 3106 (Maruti)</t>
  </si>
  <si>
    <t>G101411</t>
  </si>
  <si>
    <t>MOTOR CAR - MH-43-R-6541 WAGON R</t>
  </si>
  <si>
    <t>G101480</t>
  </si>
  <si>
    <t>MOTOR CAR - MH-43-X-3495 (Maruti-A-Star)</t>
  </si>
  <si>
    <t>G101556</t>
  </si>
  <si>
    <t>MOTOR CAR - MH-43-X-9481 Indica</t>
  </si>
  <si>
    <t>G101641</t>
  </si>
  <si>
    <t>MOTOR CAR - MH-46-A-186 WV Polo</t>
  </si>
  <si>
    <t>G101656</t>
  </si>
  <si>
    <t>MOTOR CAR - MH-46-N-5284 Wagon R</t>
  </si>
  <si>
    <t>G101721</t>
  </si>
  <si>
    <t>MOTOR CAR - MH-46-W-6316 Maruti Ertiga</t>
  </si>
  <si>
    <t>G101733</t>
  </si>
  <si>
    <t>MOTOR CAR - MH-46-X-392 Maruti Ertiga</t>
  </si>
  <si>
    <t>G101765</t>
  </si>
  <si>
    <t>MOTOR CAR - MH-46-X-8360 Maruti Ritz</t>
  </si>
  <si>
    <t>G101734</t>
  </si>
  <si>
    <t>MOTOR CAR - MH-46-X-864 Maruti Wagon R</t>
  </si>
  <si>
    <t>G100684</t>
  </si>
  <si>
    <t>MOTOR CAR - MMA 5122</t>
  </si>
  <si>
    <t>G100685</t>
  </si>
  <si>
    <t>MOTOR CAR - OPEL ASTRA</t>
  </si>
  <si>
    <t>G101460</t>
  </si>
  <si>
    <t>MOTOR CAR - OPTRA-TN04AB3620</t>
  </si>
  <si>
    <t>G100686</t>
  </si>
  <si>
    <t>MOTOR CAR - TATA SIERRA-GJIR 1198</t>
  </si>
  <si>
    <t>G100687</t>
  </si>
  <si>
    <t>MOTOR CAR - TATA SUMO DLX</t>
  </si>
  <si>
    <t>G101335</t>
  </si>
  <si>
    <t>MOTOR CAR - TAVERA HR 55 D 3742 (DELHI)</t>
  </si>
  <si>
    <t>G100688</t>
  </si>
  <si>
    <t>Motor Car BLB-123</t>
  </si>
  <si>
    <t>G100379</t>
  </si>
  <si>
    <t>Motor Car Deposit</t>
  </si>
  <si>
    <t>G100199</t>
  </si>
  <si>
    <t>G100689</t>
  </si>
  <si>
    <t>MOTOR CAR FROD IKON MH 01 CA 9300</t>
  </si>
  <si>
    <t>G100935</t>
  </si>
  <si>
    <t>Motor Car Hire Charges</t>
  </si>
  <si>
    <t>G101333</t>
  </si>
  <si>
    <t>MOTOR CAR HONDA CITY (0256)</t>
  </si>
  <si>
    <t>G100690</t>
  </si>
  <si>
    <t>Motor Car MFC-1560 (Gypsy)</t>
  </si>
  <si>
    <t>G100691</t>
  </si>
  <si>
    <t>Motor Car MFC-9346</t>
  </si>
  <si>
    <t>G101331</t>
  </si>
  <si>
    <t>MOTOR CAR QUALIS MH 01 MA 7129</t>
  </si>
  <si>
    <t>G101332</t>
  </si>
  <si>
    <t>MOTOR CAR TAVERA (410)</t>
  </si>
  <si>
    <t>G101334</t>
  </si>
  <si>
    <t>MOTOR CAR TAVERA (7192)</t>
  </si>
  <si>
    <t>G102001</t>
  </si>
  <si>
    <t>Motor Car TN 04  AU 8581 JEEP</t>
  </si>
  <si>
    <t>G100692</t>
  </si>
  <si>
    <t>MOTOR CAR TOYOTA DL 1V 8489</t>
  </si>
  <si>
    <t>G101330</t>
  </si>
  <si>
    <t>MOTOR CAR WAGEN R MH 06 AB 4945</t>
  </si>
  <si>
    <t>G100693</t>
  </si>
  <si>
    <t>Motor Car(Maruti) 1909 (VMP)</t>
  </si>
  <si>
    <t>G100694</t>
  </si>
  <si>
    <t>Motor Car, 4298 (SOLD)</t>
  </si>
  <si>
    <t>G100695</t>
  </si>
  <si>
    <t>Motor Car, 6418 (VMP)</t>
  </si>
  <si>
    <t>G100696</t>
  </si>
  <si>
    <t>Motor Car, MH-01-A-5804 (FORD SIERRA)</t>
  </si>
  <si>
    <t>G100697</t>
  </si>
  <si>
    <t>Motor Car, MMD 4247 (DELHI)</t>
  </si>
  <si>
    <t>G100698</t>
  </si>
  <si>
    <t>Motor Car, MMG 8232 (SOLD)</t>
  </si>
  <si>
    <t>G100699</t>
  </si>
  <si>
    <t>Motor Car, MRF 1590 (SOLD)</t>
  </si>
  <si>
    <t>G100700</t>
  </si>
  <si>
    <t>Motor Car, MRF 3673</t>
  </si>
  <si>
    <t>G100701</t>
  </si>
  <si>
    <t>MOTOR CAR-INDICA V2 MH 04 BQ 1067</t>
  </si>
  <si>
    <t>G100702</t>
  </si>
  <si>
    <t>MOTOR CYCLE (HERO PUCH) DELHI - CLG</t>
  </si>
  <si>
    <t>G100703</t>
  </si>
  <si>
    <t>MOTOR CYCLE (HERO PUCH) DELHI - RCL</t>
  </si>
  <si>
    <t>G100704</t>
  </si>
  <si>
    <t>Motor Cycle Yamaha  DDX-5062</t>
  </si>
  <si>
    <t>G101426</t>
  </si>
  <si>
    <t>MOTOR CYCLE-TVS (TUTUCORIN)</t>
  </si>
  <si>
    <t>G100705</t>
  </si>
  <si>
    <t>Motor Van No. 5912 (Maruti) (SOLD)</t>
  </si>
  <si>
    <t>G100706</t>
  </si>
  <si>
    <t>Motor Van No. 6966 (Maruti) (SOLD)</t>
  </si>
  <si>
    <t>G100380</t>
  </si>
  <si>
    <t>Mukadam Deposit</t>
  </si>
  <si>
    <t>G102122</t>
  </si>
  <si>
    <t>MUKUND ENGINEERING (DEPOSIT A/C)</t>
  </si>
  <si>
    <t>G102124</t>
  </si>
  <si>
    <t>MUKUND INFRAPROJECTS PVT LTD (DEPOSIT)</t>
  </si>
  <si>
    <t>G101841</t>
  </si>
  <si>
    <t>MUNNA</t>
  </si>
  <si>
    <t>G100295</t>
  </si>
  <si>
    <t>N. B. I. Cheques Purchase</t>
  </si>
  <si>
    <t>G100528</t>
  </si>
  <si>
    <t>N. D. JADHAV(LOAN A/C.)</t>
  </si>
  <si>
    <t>G100799</t>
  </si>
  <si>
    <t>N. D. Shah, Huf</t>
  </si>
  <si>
    <t>G100625</t>
  </si>
  <si>
    <t>Nachi B. Patel (Share Capital)</t>
  </si>
  <si>
    <t>G101045</t>
  </si>
  <si>
    <t>Nachiketa Bipin Patel</t>
  </si>
  <si>
    <t>G102113</t>
  </si>
  <si>
    <t>Nakul Keshav Tanna (CURRENT A/C.)</t>
  </si>
  <si>
    <t>G100800</t>
  </si>
  <si>
    <t>Nanda A.Mehta Or A.I.Mehta</t>
  </si>
  <si>
    <t>G100801</t>
  </si>
  <si>
    <t>Narendra Kumar Sumatilal Shah</t>
  </si>
  <si>
    <t>G100802</t>
  </si>
  <si>
    <t>Narotam Nansi, Bombay</t>
  </si>
  <si>
    <t>G101736</t>
  </si>
  <si>
    <t>National Commercial Corporation Depo A/c</t>
  </si>
  <si>
    <t>G101689</t>
  </si>
  <si>
    <t>National Savings Certificates</t>
  </si>
  <si>
    <t>G101931</t>
  </si>
  <si>
    <t>Natraj Arts (Deposit A/C)</t>
  </si>
  <si>
    <t>G100381</t>
  </si>
  <si>
    <t>Nav Gujarat Paper Pkg.(Deposit Account)</t>
  </si>
  <si>
    <t>G100296</t>
  </si>
  <si>
    <t>New Bank Of India, Collection</t>
  </si>
  <si>
    <t>G100749</t>
  </si>
  <si>
    <t>New Bank Of India, Gurantee Marjin</t>
  </si>
  <si>
    <t>G100382</t>
  </si>
  <si>
    <t>New Bank Of India, Purchase</t>
  </si>
  <si>
    <t>G100803</t>
  </si>
  <si>
    <t>Nilesh J. Thaker.</t>
  </si>
  <si>
    <t>G100804</t>
  </si>
  <si>
    <t>Nilesh V. Patel</t>
  </si>
  <si>
    <t>G100805</t>
  </si>
  <si>
    <t>Nina Ketan Nanavati</t>
  </si>
  <si>
    <t>G100806</t>
  </si>
  <si>
    <t>Niranjan R. Patel, Bombay</t>
  </si>
  <si>
    <t>G100430</t>
  </si>
  <si>
    <t>NIRAV P. SHAH</t>
  </si>
  <si>
    <t>G101796</t>
  </si>
  <si>
    <t>Nisha Varghese</t>
  </si>
  <si>
    <t>G100532</t>
  </si>
  <si>
    <t>NITIN MAVLANKAR</t>
  </si>
  <si>
    <t>G100936</t>
  </si>
  <si>
    <t>Notice Pay Salary</t>
  </si>
  <si>
    <t>G101559</t>
  </si>
  <si>
    <t>NTPC Security Deposit Account</t>
  </si>
  <si>
    <t>G100242</t>
  </si>
  <si>
    <t>G101610</t>
  </si>
  <si>
    <t>G100332</t>
  </si>
  <si>
    <t>Ocean Freight Refund</t>
  </si>
  <si>
    <t>G101026</t>
  </si>
  <si>
    <t>OCTROI CHARGES</t>
  </si>
  <si>
    <t>G100333</t>
  </si>
  <si>
    <t>Octroi Refund</t>
  </si>
  <si>
    <t>G100707</t>
  </si>
  <si>
    <t>OFFICE AT DELHI</t>
  </si>
  <si>
    <t>G100708</t>
  </si>
  <si>
    <t>Office Equipment (Delhi)</t>
  </si>
  <si>
    <t>G100709</t>
  </si>
  <si>
    <t>Office Equipments</t>
  </si>
  <si>
    <t>G100710</t>
  </si>
  <si>
    <t>OFFICE EQUIPMENTS-BARCODE MACHINE</t>
  </si>
  <si>
    <t>G100200</t>
  </si>
  <si>
    <t>G100711</t>
  </si>
  <si>
    <t>OFFICE PREMISES AT DRONAGIRI</t>
  </si>
  <si>
    <t>G100201</t>
  </si>
  <si>
    <t>G101361</t>
  </si>
  <si>
    <t>OFFICE RENT DEPOSIT (CHENNAI)</t>
  </si>
  <si>
    <t>G101293</t>
  </si>
  <si>
    <t>OFFICE RENT DEPOSIT(GANDHIDHAM)</t>
  </si>
  <si>
    <t>G100927</t>
  </si>
  <si>
    <t>Office Rent Received</t>
  </si>
  <si>
    <t>G101735</t>
  </si>
  <si>
    <t>Om Sai Traders (Deposit A/C)</t>
  </si>
  <si>
    <t>G101458</t>
  </si>
  <si>
    <t>G101608</t>
  </si>
  <si>
    <t>G101775</t>
  </si>
  <si>
    <t>OUTSTANDING EXPENSES</t>
  </si>
  <si>
    <t>G101865</t>
  </si>
  <si>
    <t>Overhead Expenses</t>
  </si>
  <si>
    <t>G100202</t>
  </si>
  <si>
    <t>Overtime</t>
  </si>
  <si>
    <t>G100383</t>
  </si>
  <si>
    <t>P. &amp; V. Dock Deposit</t>
  </si>
  <si>
    <t>G100203</t>
  </si>
  <si>
    <t>P. F. Administration Charges</t>
  </si>
  <si>
    <t>G100204</t>
  </si>
  <si>
    <t>G100299</t>
  </si>
  <si>
    <t>P. N. B., Jullundhar</t>
  </si>
  <si>
    <t>G100539</t>
  </si>
  <si>
    <t>P. S. KANK</t>
  </si>
  <si>
    <t>G101485</t>
  </si>
  <si>
    <t>P. S. KANK(LOAN A/C.)</t>
  </si>
  <si>
    <t>G100546</t>
  </si>
  <si>
    <t>P. S. SHRINGARE</t>
  </si>
  <si>
    <t>G101482</t>
  </si>
  <si>
    <t>P. S. SHRINGARE(LOAN A/C.)</t>
  </si>
  <si>
    <t>G100540</t>
  </si>
  <si>
    <t>P. S. Talekar(LOAN A/C.)</t>
  </si>
  <si>
    <t>G100807</t>
  </si>
  <si>
    <t>P. V. Mehta</t>
  </si>
  <si>
    <t>G100891</t>
  </si>
  <si>
    <t>PAL DESAI</t>
  </si>
  <si>
    <t>G101377</t>
  </si>
  <si>
    <t>PALLAT TRUCK (HYDRO)</t>
  </si>
  <si>
    <t>G101562</t>
  </si>
  <si>
    <t>PALLETISING CHARGES</t>
  </si>
  <si>
    <t>G100543</t>
  </si>
  <si>
    <t>PANDARI K. PAWAR (Loan A/c)</t>
  </si>
  <si>
    <t>G101686</t>
  </si>
  <si>
    <t>Parekh Pipes Pvt Ltd (Deposit A/C)</t>
  </si>
  <si>
    <t>G100808</t>
  </si>
  <si>
    <t>Parikh Finance</t>
  </si>
  <si>
    <t>G101311</t>
  </si>
  <si>
    <t>PD A/C. CWC-NHAVA</t>
  </si>
  <si>
    <t>G101526</t>
  </si>
  <si>
    <t>PF Empoyer Contribution Payable</t>
  </si>
  <si>
    <t>G101758</t>
  </si>
  <si>
    <t>Philip George Chandran (Loan A/c)</t>
  </si>
  <si>
    <t>G101665</t>
  </si>
  <si>
    <t>Phillip George Chandran</t>
  </si>
  <si>
    <t>G100205</t>
  </si>
  <si>
    <t>Photo Copy</t>
  </si>
  <si>
    <t>G100712</t>
  </si>
  <si>
    <t>Photo-copier (CANON-NP-270)</t>
  </si>
  <si>
    <t>G100713</t>
  </si>
  <si>
    <t>PHOTO-COPIER (MODI-DELHI)</t>
  </si>
  <si>
    <t>G101860</t>
  </si>
  <si>
    <t>PINKESH TRADING CO. (DEPOSIT A/C)</t>
  </si>
  <si>
    <t>G100714</t>
  </si>
  <si>
    <t>PLOT AT DRONAGIRI NO.1</t>
  </si>
  <si>
    <t>G101145</t>
  </si>
  <si>
    <t>PLOT AT DRONAGIRI NO.2</t>
  </si>
  <si>
    <t>G101684</t>
  </si>
  <si>
    <t>Pooja Tube Corporation Deposit A/c</t>
  </si>
  <si>
    <t>G100809</t>
  </si>
  <si>
    <t>Popatlal Mohanlal Rathod</t>
  </si>
  <si>
    <t>G100206</t>
  </si>
  <si>
    <t>Postage</t>
  </si>
  <si>
    <t>G100544</t>
  </si>
  <si>
    <t>PRABHAKAR S. ZAWARE</t>
  </si>
  <si>
    <t>G100810</t>
  </si>
  <si>
    <t>Pradeep B. Sasar</t>
  </si>
  <si>
    <t>G101390</t>
  </si>
  <si>
    <t>Pradeep Singh Rana - Loan A/c</t>
  </si>
  <si>
    <t>G101034</t>
  </si>
  <si>
    <t>Pranav V. Patel</t>
  </si>
  <si>
    <t>G100811</t>
  </si>
  <si>
    <t>Pranlal Keshavlal Shah</t>
  </si>
  <si>
    <t>G101820</t>
  </si>
  <si>
    <t>PRASHANT DHOMSE (Loan A/c)</t>
  </si>
  <si>
    <t>G101739</t>
  </si>
  <si>
    <t>PRASHANT DOMBLE</t>
  </si>
  <si>
    <t>G102027</t>
  </si>
  <si>
    <t>PRASHANT GUNJAL</t>
  </si>
  <si>
    <t>G101741</t>
  </si>
  <si>
    <t>PRATAP SALADA</t>
  </si>
  <si>
    <t>G100547</t>
  </si>
  <si>
    <t>PRATIBHA N. THAKUR MRS.(LOAN A/C.)</t>
  </si>
  <si>
    <t>G101549</t>
  </si>
  <si>
    <t>PRATIK PANDYA(LOAN A/C.)</t>
  </si>
  <si>
    <t>G101658</t>
  </si>
  <si>
    <t>Pravin Gharat (Loan A/c)</t>
  </si>
  <si>
    <t>G101456</t>
  </si>
  <si>
    <t>PRAVIN YADAV (Loan A/c)</t>
  </si>
  <si>
    <t>G100812</t>
  </si>
  <si>
    <t>Premal N. Shah</t>
  </si>
  <si>
    <t>G101552</t>
  </si>
  <si>
    <t>PREPAID EXPENSES</t>
  </si>
  <si>
    <t>G101046</t>
  </si>
  <si>
    <t>PRERANA J. MARFATIA (DEP)</t>
  </si>
  <si>
    <t>G100626</t>
  </si>
  <si>
    <t>Prerana Marfatia</t>
  </si>
  <si>
    <t>G100207</t>
  </si>
  <si>
    <t>Presentation</t>
  </si>
  <si>
    <t>G100384</t>
  </si>
  <si>
    <t>Presidency Post Master Deposit</t>
  </si>
  <si>
    <t>G100208</t>
  </si>
  <si>
    <t>G100385</t>
  </si>
  <si>
    <t>PROFESSIONAL CARE TAKER (DEPOSIT A/C)</t>
  </si>
  <si>
    <t>G100739</t>
  </si>
  <si>
    <t>Professional Tax</t>
  </si>
  <si>
    <t>G100937</t>
  </si>
  <si>
    <t>Professional Tax (Company)</t>
  </si>
  <si>
    <t>G101038</t>
  </si>
  <si>
    <t>PROFIT / LOSS CARRIED FORWARD</t>
  </si>
  <si>
    <t>G100938</t>
  </si>
  <si>
    <t>Profit On Sale Of Units</t>
  </si>
  <si>
    <t>G101536</t>
  </si>
  <si>
    <t>Prov. Depreciation - Air Conditioners</t>
  </si>
  <si>
    <t>G101539</t>
  </si>
  <si>
    <t>Prov. Depreciation - Computers</t>
  </si>
  <si>
    <t>G101534</t>
  </si>
  <si>
    <t>Prov. Depreciation - Furniture &amp; Fixture</t>
  </si>
  <si>
    <t>G101537</t>
  </si>
  <si>
    <t>Prov. Depreciation - Generator Set</t>
  </si>
  <si>
    <t>G101546</t>
  </si>
  <si>
    <t>Prov. Depreciation - Lease Hold Land</t>
  </si>
  <si>
    <t>G101540</t>
  </si>
  <si>
    <t>Prov. Depreciation - Motor Cars</t>
  </si>
  <si>
    <t>G101554</t>
  </si>
  <si>
    <t>Prov. Depreciation - Office Building</t>
  </si>
  <si>
    <t>G101538</t>
  </si>
  <si>
    <t>Prov. Depreciation - Office Equipment</t>
  </si>
  <si>
    <t>G101543</t>
  </si>
  <si>
    <t>Prov. Depreciation - Scooter / Byke</t>
  </si>
  <si>
    <t>G101542</t>
  </si>
  <si>
    <t>Prov. Depreciation - Software</t>
  </si>
  <si>
    <t>G101541</t>
  </si>
  <si>
    <t>Prov. Depreciation - Trucks</t>
  </si>
  <si>
    <t>G101535</t>
  </si>
  <si>
    <t>Prov. Depreciation-Electric Installation</t>
  </si>
  <si>
    <t>G100210</t>
  </si>
  <si>
    <t>G101625</t>
  </si>
  <si>
    <t>Provision Air Freight - MAWB</t>
  </si>
  <si>
    <t>G101342</t>
  </si>
  <si>
    <t>PROVISION Electricity Expenses</t>
  </si>
  <si>
    <t>G101366</t>
  </si>
  <si>
    <t>PROVISION FBT (2006-2007 ASST.YEAR)</t>
  </si>
  <si>
    <t>G102082</t>
  </si>
  <si>
    <t>Provision for Business Support Services</t>
  </si>
  <si>
    <t>G100983</t>
  </si>
  <si>
    <t>PROVISION FOR DEFERRED TAX</t>
  </si>
  <si>
    <t>G101622</t>
  </si>
  <si>
    <t>Provision for Depletion in Investments</t>
  </si>
  <si>
    <t>G101660</t>
  </si>
  <si>
    <t>Provision for Doubtful Debts &amp; Advances</t>
  </si>
  <si>
    <t>G101659</t>
  </si>
  <si>
    <t>Provision for Doubtful Debts - Expenses</t>
  </si>
  <si>
    <t>G101063</t>
  </si>
  <si>
    <t>Provision for Gratuity</t>
  </si>
  <si>
    <t>G101579</t>
  </si>
  <si>
    <t>Provision for Leave Salary</t>
  </si>
  <si>
    <t>G100993</t>
  </si>
  <si>
    <t>PROVISION MISC. RECOVERABLE</t>
  </si>
  <si>
    <t>G101011</t>
  </si>
  <si>
    <t>PROVISION Staff Welfare</t>
  </si>
  <si>
    <t>G101479</t>
  </si>
  <si>
    <t>PSS (PEAK SEASON SURCHARGE)</t>
  </si>
  <si>
    <t>G101513</t>
  </si>
  <si>
    <t>PUJA EXPENSES</t>
  </si>
  <si>
    <t>G100301</t>
  </si>
  <si>
    <t>PUNJAB NATIONAL BANK A/C 2,Fort,Bombay</t>
  </si>
  <si>
    <t>G100302</t>
  </si>
  <si>
    <t>PUNJAB NATIONAL BANK A/C.1,Fort,Bombay</t>
  </si>
  <si>
    <t>G100303</t>
  </si>
  <si>
    <t>Punjab National Bank, Bombay</t>
  </si>
  <si>
    <t>G101499</t>
  </si>
  <si>
    <t>Punjab State Cont.W/H (Import) TDS RCBL.</t>
  </si>
  <si>
    <t>G100939</t>
  </si>
  <si>
    <t>Purchase &amp; Sale Of Glass</t>
  </si>
  <si>
    <t>G100940</t>
  </si>
  <si>
    <t>PURCHASE ACCOUNT (MERCHANDISE FOR EXPORT</t>
  </si>
  <si>
    <t>G100550</t>
  </si>
  <si>
    <t>PURNIMA SONAVARIA</t>
  </si>
  <si>
    <t>G101160</t>
  </si>
  <si>
    <t>R. D. PAL(LOAN A/C.)</t>
  </si>
  <si>
    <t>G100551</t>
  </si>
  <si>
    <t>R. D. Patil</t>
  </si>
  <si>
    <t>G101487</t>
  </si>
  <si>
    <t>R. D. Patil (LOAN A/C.)</t>
  </si>
  <si>
    <t>G100813</t>
  </si>
  <si>
    <t>R. Girishkumar</t>
  </si>
  <si>
    <t>G100386</t>
  </si>
  <si>
    <t>R. J. Mehta</t>
  </si>
  <si>
    <t>G100387</t>
  </si>
  <si>
    <t>R. S. Vatcha &amp; Co., Deposit</t>
  </si>
  <si>
    <t>G100941</t>
  </si>
  <si>
    <t>R. T. O. Tax</t>
  </si>
  <si>
    <t>G101558</t>
  </si>
  <si>
    <t>R.B.PAWADE Retention Account</t>
  </si>
  <si>
    <t>G101861</t>
  </si>
  <si>
    <t>RADHEY SHYAM YADAV (LOAN A/C)</t>
  </si>
  <si>
    <t>G100750</t>
  </si>
  <si>
    <t>Raghuvenshi Co. Op. Bank, Share A/C</t>
  </si>
  <si>
    <t>G100304</t>
  </si>
  <si>
    <t>Raghuvenshi Co.Op. Bank</t>
  </si>
  <si>
    <t>G100874</t>
  </si>
  <si>
    <t>Raghuvenshi Co.Op.Bank,(Loan A/C)</t>
  </si>
  <si>
    <t>G102137</t>
  </si>
  <si>
    <t>Rail Freight - Income</t>
  </si>
  <si>
    <t>G102138</t>
  </si>
  <si>
    <t>Rail Wagon - Income</t>
  </si>
  <si>
    <t>G100241</t>
  </si>
  <si>
    <t>Railway Freight</t>
  </si>
  <si>
    <t>G100942</t>
  </si>
  <si>
    <t>Railway Sundries</t>
  </si>
  <si>
    <t>G102155</t>
  </si>
  <si>
    <t>RAJESH KAVI - LOAN A/C</t>
  </si>
  <si>
    <t>G100555</t>
  </si>
  <si>
    <t>RAJESH MORYE</t>
  </si>
  <si>
    <t>G101807</t>
  </si>
  <si>
    <t>RAJESH MORYE (Loan A/c.)</t>
  </si>
  <si>
    <t>G100556</t>
  </si>
  <si>
    <t>RAJESH PATIAL</t>
  </si>
  <si>
    <t>G100557</t>
  </si>
  <si>
    <t>RAJU DHOBALE</t>
  </si>
  <si>
    <t>G100558</t>
  </si>
  <si>
    <t>Raju Kamthe (Loan A/c)</t>
  </si>
  <si>
    <t>G101682</t>
  </si>
  <si>
    <t>Ramchandra Parab</t>
  </si>
  <si>
    <t>G101693</t>
  </si>
  <si>
    <t>Ramchandra Parab (Loan A/c)</t>
  </si>
  <si>
    <t>G101764</t>
  </si>
  <si>
    <t>RAMDAS SHELAR</t>
  </si>
  <si>
    <t>G101816</t>
  </si>
  <si>
    <t>RAMDAS SHELAR (Loan A/c.)</t>
  </si>
  <si>
    <t>G101742</t>
  </si>
  <si>
    <t>RAMESH SUSKAR</t>
  </si>
  <si>
    <t>G101120</t>
  </si>
  <si>
    <t>G100211</t>
  </si>
  <si>
    <t>RATES FEES and TAXES</t>
  </si>
  <si>
    <t>G101993</t>
  </si>
  <si>
    <t>RAVINDRA PAL - ADVANCE SALARY A/C</t>
  </si>
  <si>
    <t>G102150</t>
  </si>
  <si>
    <t>REAL PILE FOUNDATION (DEPOSIT A/C)</t>
  </si>
  <si>
    <t>G101313</t>
  </si>
  <si>
    <t>RECOVERY OF BAD DEBTS</t>
  </si>
  <si>
    <t>G101557</t>
  </si>
  <si>
    <t>Reliance Capital Car Loan MH-43-X-9481</t>
  </si>
  <si>
    <t>G102078</t>
  </si>
  <si>
    <t>RENT - TEA MACHINE</t>
  </si>
  <si>
    <t>G100363</t>
  </si>
  <si>
    <t>Rent Deposit (Spedition-MP Clearing)</t>
  </si>
  <si>
    <t>G100213</t>
  </si>
  <si>
    <t>Repair &amp; Maintance Of Premises</t>
  </si>
  <si>
    <t>G100214</t>
  </si>
  <si>
    <t>Repair &amp; Maintenance Charges</t>
  </si>
  <si>
    <t>G101138</t>
  </si>
  <si>
    <t>REPAIR &amp; MAINTENANCE OF CANTER</t>
  </si>
  <si>
    <t>G100215</t>
  </si>
  <si>
    <t>Repair &amp; Maintenance Of Motor Car</t>
  </si>
  <si>
    <t>G101134</t>
  </si>
  <si>
    <t>REPAIR AND MAINTENANCE OF GENERATOR</t>
  </si>
  <si>
    <t>G101863</t>
  </si>
  <si>
    <t>REPAIRS &amp; MAINTENANCE - WIP</t>
  </si>
  <si>
    <t>G101561</t>
  </si>
  <si>
    <t>REPO CHARGES</t>
  </si>
  <si>
    <t>G100945</t>
  </si>
  <si>
    <t>Retrenchment Compensation</t>
  </si>
  <si>
    <t>G101024</t>
  </si>
  <si>
    <t>Revalidation Charges</t>
  </si>
  <si>
    <t>G100388</t>
  </si>
  <si>
    <t>Rex Chamber Co-Owner Deposit</t>
  </si>
  <si>
    <t>G100715</t>
  </si>
  <si>
    <t>Rex Chamber Office Premises</t>
  </si>
  <si>
    <t>G100251</t>
  </si>
  <si>
    <t>Rical Logistics Private Limited</t>
  </si>
  <si>
    <t>G100814</t>
  </si>
  <si>
    <t>Rinkin S. Patel</t>
  </si>
  <si>
    <t>G100212</t>
  </si>
  <si>
    <t>ROC - FILING FEE</t>
  </si>
  <si>
    <t>G101888</t>
  </si>
  <si>
    <t>Roshan Koli</t>
  </si>
  <si>
    <t>G101838</t>
  </si>
  <si>
    <t>RShlr</t>
  </si>
  <si>
    <t>G100627</t>
  </si>
  <si>
    <t>Rupa N. Patel</t>
  </si>
  <si>
    <t>G101047</t>
  </si>
  <si>
    <t>Rupa Nachiketa Patel</t>
  </si>
  <si>
    <t>G101768</t>
  </si>
  <si>
    <t>RUPESH GHADI</t>
  </si>
  <si>
    <t>G101407</t>
  </si>
  <si>
    <t>RUPESH GHADI(LOAN A/C.)</t>
  </si>
  <si>
    <t>G102116</t>
  </si>
  <si>
    <t>S M ENTERPRISE (DEPOSIT A/C)</t>
  </si>
  <si>
    <t>G100446</t>
  </si>
  <si>
    <t>S. B. KHATATE</t>
  </si>
  <si>
    <t>G101795</t>
  </si>
  <si>
    <t>S. B. KHATATE (LOAN A/C)</t>
  </si>
  <si>
    <t>G100561</t>
  </si>
  <si>
    <t>S. B. Mundhe</t>
  </si>
  <si>
    <t>G100445</t>
  </si>
  <si>
    <t>S. D. JAGTAP</t>
  </si>
  <si>
    <t>G101035</t>
  </si>
  <si>
    <t>S. D. Pal Desai</t>
  </si>
  <si>
    <t>G101161</t>
  </si>
  <si>
    <t>S. G. TAKKE</t>
  </si>
  <si>
    <t>G100563</t>
  </si>
  <si>
    <t>S. H. Sompura</t>
  </si>
  <si>
    <t>G101443</t>
  </si>
  <si>
    <t>S. L. KAWADE</t>
  </si>
  <si>
    <t>G100564</t>
  </si>
  <si>
    <t>S. P. Bandiwdekar</t>
  </si>
  <si>
    <t>G100438</t>
  </si>
  <si>
    <t>S. P. MAGAM</t>
  </si>
  <si>
    <t>G101667</t>
  </si>
  <si>
    <t>S. P. Magam (Loan A/c)</t>
  </si>
  <si>
    <t>G100389</t>
  </si>
  <si>
    <t>S. R. Bhatia - Deposit - House At Delhi</t>
  </si>
  <si>
    <t>G100565</t>
  </si>
  <si>
    <t>S. R. Manjrekar</t>
  </si>
  <si>
    <t>G101036</t>
  </si>
  <si>
    <t>S. R. Tanna</t>
  </si>
  <si>
    <t>G100566</t>
  </si>
  <si>
    <t>S. S. Babu</t>
  </si>
  <si>
    <t>G100567</t>
  </si>
  <si>
    <t>S. S. NAVLE</t>
  </si>
  <si>
    <t>G100568</t>
  </si>
  <si>
    <t>S. S. Sawant</t>
  </si>
  <si>
    <t>G100448</t>
  </si>
  <si>
    <t>S. S. SUMBARE</t>
  </si>
  <si>
    <t>G100569</t>
  </si>
  <si>
    <t>S. T. Raval</t>
  </si>
  <si>
    <t>G100447</t>
  </si>
  <si>
    <t>S. T. ZAWARE</t>
  </si>
  <si>
    <t>G102054</t>
  </si>
  <si>
    <t>S. T. ZAWARE - LOAN A/C</t>
  </si>
  <si>
    <t>G101688</t>
  </si>
  <si>
    <t>Sachin Jadhav (Loan A/c)</t>
  </si>
  <si>
    <t>G101862</t>
  </si>
  <si>
    <t>Sachin Lad</t>
  </si>
  <si>
    <t>G102052</t>
  </si>
  <si>
    <t>SACHIN LAD - LOAN A/C</t>
  </si>
  <si>
    <t>G101793</t>
  </si>
  <si>
    <t>SACHIN S SHARMA</t>
  </si>
  <si>
    <t>G102097</t>
  </si>
  <si>
    <t>SADGURU ENTERPRISE DEPOSIT A/C</t>
  </si>
  <si>
    <t>G100390</t>
  </si>
  <si>
    <t>Sah &amp; Sanghi</t>
  </si>
  <si>
    <t>G101998</t>
  </si>
  <si>
    <t>SAI SAMARTH ENTERPRISES - DEPOSIT A/C</t>
  </si>
  <si>
    <t>G100216</t>
  </si>
  <si>
    <t>G100218</t>
  </si>
  <si>
    <t>SALARY ( DIRECTORS )</t>
  </si>
  <si>
    <t>G100219</t>
  </si>
  <si>
    <t>Salary Contrac</t>
  </si>
  <si>
    <t>G101896</t>
  </si>
  <si>
    <t>G101976</t>
  </si>
  <si>
    <t>SALARY INCENTIVE - A NEETHIPATHI</t>
  </si>
  <si>
    <t>G102066</t>
  </si>
  <si>
    <t>SALARY INCENTIVE - ANKIT SADHU</t>
  </si>
  <si>
    <t>G101939</t>
  </si>
  <si>
    <t>SALARY INCENTIVE - ARUN HANDE</t>
  </si>
  <si>
    <t>G101988</t>
  </si>
  <si>
    <t>SALARY INCENTIVE - ASHISH MAGAN</t>
  </si>
  <si>
    <t>G101961</t>
  </si>
  <si>
    <t>SALARY INCENTIVE - ASHOK KUMAR</t>
  </si>
  <si>
    <t>G102060</t>
  </si>
  <si>
    <t>SALARY INCENTIVE - ASHWANI TIWARI</t>
  </si>
  <si>
    <t>G101945</t>
  </si>
  <si>
    <t>SALARY INCENTIVE - BALKRISHNA PARULEKAR</t>
  </si>
  <si>
    <t>G102064</t>
  </si>
  <si>
    <t>SALARY INCENTIVE - BHARAT CHAUHAN</t>
  </si>
  <si>
    <t>G101969</t>
  </si>
  <si>
    <t>SALARY INCENTIVE - BHAVESH OZA</t>
  </si>
  <si>
    <t>G102059</t>
  </si>
  <si>
    <t>SALARY INCENTIVE - BHUWAN CHANDRA</t>
  </si>
  <si>
    <t>G102058</t>
  </si>
  <si>
    <t>SALARY INCENTIVE - DHARAMVIR SINGH</t>
  </si>
  <si>
    <t>G102063</t>
  </si>
  <si>
    <t>SALARY INCENTIVE - DINESH RATHAUR</t>
  </si>
  <si>
    <t>G101966</t>
  </si>
  <si>
    <t>SALARY INCENTIVE - GEORGE CHANDRAN</t>
  </si>
  <si>
    <t>G102004</t>
  </si>
  <si>
    <t>SALARY INCENTIVE - HARISH RAM ARYA</t>
  </si>
  <si>
    <t>G101951</t>
  </si>
  <si>
    <t>SALARY INCENTIVE - HEMANT KAWLE</t>
  </si>
  <si>
    <t>G102090</t>
  </si>
  <si>
    <t>SALARY INCENTIVE - HITENDRA MHATRE</t>
  </si>
  <si>
    <t>G102111</t>
  </si>
  <si>
    <t>SALARY INCENTIVE - J. ANTHONY SUNILKUMAR</t>
  </si>
  <si>
    <t>G101948</t>
  </si>
  <si>
    <t>SALARY INCENTIVE - JAYWANT REPALE</t>
  </si>
  <si>
    <t>G101978</t>
  </si>
  <si>
    <t>SALARY INCENTIVE - JESURAJ</t>
  </si>
  <si>
    <t>G102070</t>
  </si>
  <si>
    <t>SALARY INCENTIVE - JOY SAMUEL</t>
  </si>
  <si>
    <t>G101979</t>
  </si>
  <si>
    <t>SALARY INCENTIVE - K VIJAYAN</t>
  </si>
  <si>
    <t>G101986</t>
  </si>
  <si>
    <t>SALARY INCENTIVE - K.C.POORNANAND</t>
  </si>
  <si>
    <t>G101963</t>
  </si>
  <si>
    <t>SALARY INCENTIVE - KESHAV RAM</t>
  </si>
  <si>
    <t>G101936</t>
  </si>
  <si>
    <t>SALARY INCENTIVE - KISAN CHIKNE</t>
  </si>
  <si>
    <t>G101940</t>
  </si>
  <si>
    <t>SALARY INCENTIVE - KISAN LOKHANDE</t>
  </si>
  <si>
    <t>G101941</t>
  </si>
  <si>
    <t>SALARY INCENTIVE - KONDIBHAU GADGE</t>
  </si>
  <si>
    <t>G101947</t>
  </si>
  <si>
    <t>SALARY INCENTIVE - KRISHNA SHINDE</t>
  </si>
  <si>
    <t>G101942</t>
  </si>
  <si>
    <t>SALARY INCENTIVE - LAXMAN POOJARY</t>
  </si>
  <si>
    <t>G101980</t>
  </si>
  <si>
    <t>SALARY INCENTIVE - M MANIKANDAN</t>
  </si>
  <si>
    <t>G101995</t>
  </si>
  <si>
    <t>SALARY INCENTIVE - MACHHINDRA A. KHEDKAR</t>
  </si>
  <si>
    <t>G101962</t>
  </si>
  <si>
    <t>SALARY INCENTIVE - MAHENDER SINGH VERMA</t>
  </si>
  <si>
    <t>G102003</t>
  </si>
  <si>
    <t>SALARY INCENTIVE - MANOJ KOLI</t>
  </si>
  <si>
    <t>G101964</t>
  </si>
  <si>
    <t>SALARY INCENTIVE - MUNNA</t>
  </si>
  <si>
    <t>G101985</t>
  </si>
  <si>
    <t>SALARY INCENTIVE - MUTHUKUMAR</t>
  </si>
  <si>
    <t>G102157</t>
  </si>
  <si>
    <t>SALARY INCENTIVE - NISHANT THAKUR</t>
  </si>
  <si>
    <t>G102158</t>
  </si>
  <si>
    <t>SALARY INCENTIVE - P. BALAMURUGAN</t>
  </si>
  <si>
    <t>G101974</t>
  </si>
  <si>
    <t>SALARY INCENTIVE - P. SARAVANAN</t>
  </si>
  <si>
    <t>G101938</t>
  </si>
  <si>
    <t>SALARY INCENTIVE - PRAKASH SHRINGARE</t>
  </si>
  <si>
    <t>G101960</t>
  </si>
  <si>
    <t>SALARY INCENTIVE - PURAN KARKI</t>
  </si>
  <si>
    <t>G101946</t>
  </si>
  <si>
    <t>SALARY INCENTIVE - RAJENDRA PATIL</t>
  </si>
  <si>
    <t>G102062</t>
  </si>
  <si>
    <t>SALARY INCENTIVE - RAJESH MORYE</t>
  </si>
  <si>
    <t>G101955</t>
  </si>
  <si>
    <t>SALARY INCENTIVE - RAMCHANDRA PARAB</t>
  </si>
  <si>
    <t>G101983</t>
  </si>
  <si>
    <t>SALARY INCENTIVE - S. SARAVANAN</t>
  </si>
  <si>
    <t>G101975</t>
  </si>
  <si>
    <t>SALARY INCENTIVE - S.VARADHARAJAN</t>
  </si>
  <si>
    <t>G101943</t>
  </si>
  <si>
    <t>SALARY INCENTIVE - SACHIN LAD</t>
  </si>
  <si>
    <t>G101999</t>
  </si>
  <si>
    <t>SALARY INCENTIVE - SANDEEP KALANTRE</t>
  </si>
  <si>
    <t>G101990</t>
  </si>
  <si>
    <t>SALARY INCENTIVE - SANJAY BENDRE</t>
  </si>
  <si>
    <t>G101937</t>
  </si>
  <si>
    <t>SALARY INCENTIVE - SHANTARAM ZAWARE</t>
  </si>
  <si>
    <t>G101944</t>
  </si>
  <si>
    <t>SALARY INCENTIVE - SHIVAJI PAWDE</t>
  </si>
  <si>
    <t>G102131</t>
  </si>
  <si>
    <t>SALARY INCENTIVE - SUBRAMANIAN.E</t>
  </si>
  <si>
    <t>G102065</t>
  </si>
  <si>
    <t>SALARY INCENTIVE - SURESH MAKWANA</t>
  </si>
  <si>
    <t>G101977</t>
  </si>
  <si>
    <t>SALARY INCENTIVE - T.K VENUGOPAL</t>
  </si>
  <si>
    <t>G102075</t>
  </si>
  <si>
    <t>SALARY INCENTIVE - TRIVENDRA THAKUR</t>
  </si>
  <si>
    <t>G102047</t>
  </si>
  <si>
    <t>SALARY INCENTIVE - VEDPRAKASH CHOURASIA</t>
  </si>
  <si>
    <t>G101957</t>
  </si>
  <si>
    <t>SALARY INCENTIVE - VIKRAM SINGH</t>
  </si>
  <si>
    <t>G101949</t>
  </si>
  <si>
    <t>SALARY INCENTIVE - VILAS PANSARE</t>
  </si>
  <si>
    <t>G102105</t>
  </si>
  <si>
    <t>SALARY INCENTIVE - VIRENDRA SAWANT</t>
  </si>
  <si>
    <t>G102046</t>
  </si>
  <si>
    <t>SALARY INCENTIVE - VISHNU KOLI</t>
  </si>
  <si>
    <t>G102156</t>
  </si>
  <si>
    <t>SALARY INCENTIVE- Surendrasinh Gohil</t>
  </si>
  <si>
    <t>G101525</t>
  </si>
  <si>
    <t>SALARY PAYABLE</t>
  </si>
  <si>
    <t>G101547</t>
  </si>
  <si>
    <t>SALARY PAYABLE (CONTRACT )</t>
  </si>
  <si>
    <t>G100949</t>
  </si>
  <si>
    <t>Sale Of Asset</t>
  </si>
  <si>
    <t>G100950</t>
  </si>
  <si>
    <t>SALES ACCOUNT (MERCHANDISE FOR EXPORT)</t>
  </si>
  <si>
    <t>G101738</t>
  </si>
  <si>
    <t>Samson Nadar</t>
  </si>
  <si>
    <t>G101753</t>
  </si>
  <si>
    <t>SANDEEP CHASKAR</t>
  </si>
  <si>
    <t>G102053</t>
  </si>
  <si>
    <t>SANDEEP KALANTRE - LOAN A/C</t>
  </si>
  <si>
    <t>G101416</t>
  </si>
  <si>
    <t>SANDEEP KARPE</t>
  </si>
  <si>
    <t>G101668</t>
  </si>
  <si>
    <t>Sandeep Karpe (Loan a/c)</t>
  </si>
  <si>
    <t>G101590</t>
  </si>
  <si>
    <t>Sandesh S. Manjrekar (Loan A/c)</t>
  </si>
  <si>
    <t>G100815</t>
  </si>
  <si>
    <t>Sandipkumar N. Patel Or N. B. Patel</t>
  </si>
  <si>
    <t>G100573</t>
  </si>
  <si>
    <t>SANJAY DHOBALE</t>
  </si>
  <si>
    <t>G100816</t>
  </si>
  <si>
    <t>Santaben Mohanlal</t>
  </si>
  <si>
    <t>G101560</t>
  </si>
  <si>
    <t>Santosh Bomble(Loan A/c.)</t>
  </si>
  <si>
    <t>G101415</t>
  </si>
  <si>
    <t>SANTOSH PARAB</t>
  </si>
  <si>
    <t>G101624</t>
  </si>
  <si>
    <t>SANTOSH PARAB (Loan Account)</t>
  </si>
  <si>
    <t>G101421</t>
  </si>
  <si>
    <t>SANTOSH TAKKE(LOAN A/C.)</t>
  </si>
  <si>
    <t>G100391</t>
  </si>
  <si>
    <t>Santosh Tube Corporation ( Deposit A/C.)</t>
  </si>
  <si>
    <t>G101760</t>
  </si>
  <si>
    <t>SATYAWAN BADBE</t>
  </si>
  <si>
    <t>G100817</t>
  </si>
  <si>
    <t>Saurabh Ranchhodlal &amp; Co.,</t>
  </si>
  <si>
    <t>G100818</t>
  </si>
  <si>
    <t>Savitaben C. Shah</t>
  </si>
  <si>
    <t>G101815</t>
  </si>
  <si>
    <t>SCB EURO EEFC A/C (22506133555)</t>
  </si>
  <si>
    <t>G100716</t>
  </si>
  <si>
    <t>SCOOTER (DELHI OFFICE)</t>
  </si>
  <si>
    <t>G100717</t>
  </si>
  <si>
    <t>SCOOTER - BAJAJ CLASSIC -1997</t>
  </si>
  <si>
    <t>G100718</t>
  </si>
  <si>
    <t>SCOOTER - BAJAJ M80</t>
  </si>
  <si>
    <t>G100719</t>
  </si>
  <si>
    <t>SCOOTER - DELHI 1999 (TWO LML)</t>
  </si>
  <si>
    <t>G100720</t>
  </si>
  <si>
    <t>SCOOTER - KINETIC HONDA</t>
  </si>
  <si>
    <t>G100220</t>
  </si>
  <si>
    <t>G100721</t>
  </si>
  <si>
    <t>Scooter LML-NV04 (DELHI)</t>
  </si>
  <si>
    <t>G101117</t>
  </si>
  <si>
    <t>SCOOTER MAINTAINENCE</t>
  </si>
  <si>
    <t>G100722</t>
  </si>
  <si>
    <t>Scooter MMM 9023 (DELHI)</t>
  </si>
  <si>
    <t>G100723</t>
  </si>
  <si>
    <t>Scooter MMM-9026 (DELHI)</t>
  </si>
  <si>
    <t>G100724</t>
  </si>
  <si>
    <t>Scooter No. 6376</t>
  </si>
  <si>
    <t>G100725</t>
  </si>
  <si>
    <t>Scooter No. 6702</t>
  </si>
  <si>
    <t>G100726</t>
  </si>
  <si>
    <t>Scooter No. 9805</t>
  </si>
  <si>
    <t>G101122</t>
  </si>
  <si>
    <t>SEA EDI</t>
  </si>
  <si>
    <t>G100221</t>
  </si>
  <si>
    <t>Sealing Strapping Charges - Expense</t>
  </si>
  <si>
    <t>G101615</t>
  </si>
  <si>
    <t>Sealing Strapping Charges - Income</t>
  </si>
  <si>
    <t>G101530</t>
  </si>
  <si>
    <t>Security Charges</t>
  </si>
  <si>
    <t>G100392</t>
  </si>
  <si>
    <t>Security Deposit ( B. C. H. A. )</t>
  </si>
  <si>
    <t>G100393</t>
  </si>
  <si>
    <t>Security Deposit ( B.D.L.B. )</t>
  </si>
  <si>
    <t>G100394</t>
  </si>
  <si>
    <t>SECURITY DEPOSIT (ACCAI-DELHI)</t>
  </si>
  <si>
    <t>G100395</t>
  </si>
  <si>
    <t>SECURITY DEPOSIT (ANDHERI OFFICE)</t>
  </si>
  <si>
    <t>G101368</t>
  </si>
  <si>
    <t>SECURITY DEPOSIT (OCEAN LINERS)</t>
  </si>
  <si>
    <t>G100396</t>
  </si>
  <si>
    <t>SECURITY DEPOSIT - ACCAI GODOWN</t>
  </si>
  <si>
    <t>G100397</t>
  </si>
  <si>
    <t>SECURITY DEPOSIT - CIDCO PLOT FOR GODOWN</t>
  </si>
  <si>
    <t>G100398</t>
  </si>
  <si>
    <t>SECURITY DEPOSIT(M`STRA STATE COOP COTT)</t>
  </si>
  <si>
    <t>G101699</t>
  </si>
  <si>
    <t>Service Tax - (Paid By Us) - Basic</t>
  </si>
  <si>
    <t>G101700</t>
  </si>
  <si>
    <t>Service Tax - (Paid By Us) - Edu Cess</t>
  </si>
  <si>
    <t>G101701</t>
  </si>
  <si>
    <t>Service Tax - (Paid By Us) - High Edu Ce</t>
  </si>
  <si>
    <t>G101242</t>
  </si>
  <si>
    <t>Service Tax - (Paid by Us) AGY  - Basic</t>
  </si>
  <si>
    <t>G101243</t>
  </si>
  <si>
    <t>Service Tax - (Paid by Us) AGY  - Edu Ce</t>
  </si>
  <si>
    <t>G101382</t>
  </si>
  <si>
    <t>Service Tax - (Paid by Us) AGY - HI EDU</t>
  </si>
  <si>
    <t>G101852</t>
  </si>
  <si>
    <t>Service Tax - (Paid by Us) AGY - KKC</t>
  </si>
  <si>
    <t>G101492</t>
  </si>
  <si>
    <t>Service Tax - (Paid by Us) AUX  - Basic</t>
  </si>
  <si>
    <t>G101494</t>
  </si>
  <si>
    <t>Service Tax - (Paid by Us) AUX  - Edu Ce</t>
  </si>
  <si>
    <t>G101493</t>
  </si>
  <si>
    <t>Service Tax - (Paid by Us) AUX - HI EDU</t>
  </si>
  <si>
    <t>G101853</t>
  </si>
  <si>
    <t>Service Tax - (Paid by Us) AUX - KKC</t>
  </si>
  <si>
    <t>G101856</t>
  </si>
  <si>
    <t>Service Tax - (Paid by Us) CAR - KKC</t>
  </si>
  <si>
    <t>G101857</t>
  </si>
  <si>
    <t>Service Tax - (Paid by Us) LBR - KKC</t>
  </si>
  <si>
    <t>G101858</t>
  </si>
  <si>
    <t>Service Tax - (Paid by Us) OVR - KKC</t>
  </si>
  <si>
    <t>G101726</t>
  </si>
  <si>
    <t>Service Tax - (Paid by Us) REV - Basic</t>
  </si>
  <si>
    <t>G101727</t>
  </si>
  <si>
    <t>Service Tax - (Paid by Us) REV - Edu Ce</t>
  </si>
  <si>
    <t>G101728</t>
  </si>
  <si>
    <t>Service Tax - (Paid by Us) REV - HI EDU</t>
  </si>
  <si>
    <t>G101854</t>
  </si>
  <si>
    <t>Service Tax - (Paid by Us) REV - KKC</t>
  </si>
  <si>
    <t>G101713</t>
  </si>
  <si>
    <t>Service Tax - (Paid by Us) STR - Basic</t>
  </si>
  <si>
    <t>G101714</t>
  </si>
  <si>
    <t>Service Tax - (Paid by Us) STR - Edu Ce</t>
  </si>
  <si>
    <t>G101715</t>
  </si>
  <si>
    <t>Service Tax - (Paid by Us) STR - HI EDU</t>
  </si>
  <si>
    <t>G101855</t>
  </si>
  <si>
    <t>Service Tax - (Paid by Us) STR - KKC</t>
  </si>
  <si>
    <t>G101859</t>
  </si>
  <si>
    <t>Service Tax - (Paid by Us) TPT - KKC</t>
  </si>
  <si>
    <t>G100893</t>
  </si>
  <si>
    <t>Service Tax - AGY - Basic</t>
  </si>
  <si>
    <t>G101248</t>
  </si>
  <si>
    <t>Service Tax - AGY - Edu Cess</t>
  </si>
  <si>
    <t>G101260</t>
  </si>
  <si>
    <t>Service Tax - AGY - Higher Edu Cess</t>
  </si>
  <si>
    <t>G101845</t>
  </si>
  <si>
    <t>Service Tax - AGY - Krishi Kalyan Cess</t>
  </si>
  <si>
    <t>G101822</t>
  </si>
  <si>
    <t>Service Tax - AGY - Swachh Bharat Cess</t>
  </si>
  <si>
    <t>G100892</t>
  </si>
  <si>
    <t>Service Tax - AUX - Basic</t>
  </si>
  <si>
    <t>G101249</t>
  </si>
  <si>
    <t>Service Tax - AUX - Edu Cess</t>
  </si>
  <si>
    <t>G101261</t>
  </si>
  <si>
    <t>Service Tax - AUX - Higher Edu Cess</t>
  </si>
  <si>
    <t>G101846</t>
  </si>
  <si>
    <t>Service Tax - AUX - Krishi Kalyan Cess</t>
  </si>
  <si>
    <t>G101823</t>
  </si>
  <si>
    <t>Service Tax - AUX - Swachh Bharat Cess</t>
  </si>
  <si>
    <t>G101150</t>
  </si>
  <si>
    <t>Service Tax - CAR - Basic</t>
  </si>
  <si>
    <t>G101252</t>
  </si>
  <si>
    <t>Service Tax - CAR - Edu Cess</t>
  </si>
  <si>
    <t>G101264</t>
  </si>
  <si>
    <t>Service Tax - CAR - Higher Edu Cess</t>
  </si>
  <si>
    <t>G101847</t>
  </si>
  <si>
    <t>Service Tax - CAR - Krishi Kalyan Cess</t>
  </si>
  <si>
    <t>G101824</t>
  </si>
  <si>
    <t>Service Tax - CAR - Swachh Bharat Cess</t>
  </si>
  <si>
    <t>G101697</t>
  </si>
  <si>
    <t>SERVICE TAX - EDU CESS</t>
  </si>
  <si>
    <t>G101707</t>
  </si>
  <si>
    <t>Service Tax - LBR - Basic</t>
  </si>
  <si>
    <t>G101708</t>
  </si>
  <si>
    <t>Service Tax - LBR - Edu Cess</t>
  </si>
  <si>
    <t>G101709</t>
  </si>
  <si>
    <t>Service Tax - LBR - High Edu Cess</t>
  </si>
  <si>
    <t>G101848</t>
  </si>
  <si>
    <t>Service Tax - LBR - Krishi Kalyan Cess</t>
  </si>
  <si>
    <t>G101828</t>
  </si>
  <si>
    <t>Service Tax - LBR - Swachh Bharat Cess</t>
  </si>
  <si>
    <t>G101716</t>
  </si>
  <si>
    <t>Service Tax - OVR - Basic</t>
  </si>
  <si>
    <t>G101717</t>
  </si>
  <si>
    <t>Service Tax - OVR - Edu Cess</t>
  </si>
  <si>
    <t>G101718</t>
  </si>
  <si>
    <t>Service Tax - OVR - High Edu Cess</t>
  </si>
  <si>
    <t>G101849</t>
  </si>
  <si>
    <t>Service Tax - OVR - Krishi Kalyan Cess</t>
  </si>
  <si>
    <t>G101826</t>
  </si>
  <si>
    <t>Service Tax - OVR - Swachh Bharat Cess</t>
  </si>
  <si>
    <t>G102002</t>
  </si>
  <si>
    <t>SERVICE TAX - PAYABLE</t>
  </si>
  <si>
    <t>G101149</t>
  </si>
  <si>
    <t>Service Tax - STR - Basic</t>
  </si>
  <si>
    <t>G101251</t>
  </si>
  <si>
    <t>Service Tax - STR - Edu Cess</t>
  </si>
  <si>
    <t>G101263</t>
  </si>
  <si>
    <t>Service Tax - STR - Higher Edu Cess</t>
  </si>
  <si>
    <t>G101850</t>
  </si>
  <si>
    <t>Service Tax - STR - Krishi Kalyan Cess</t>
  </si>
  <si>
    <t>G101825</t>
  </si>
  <si>
    <t>Service Tax - STR - Swachh Bharat Cess</t>
  </si>
  <si>
    <t>G101142</t>
  </si>
  <si>
    <t>Service Tax - TPT - Basic</t>
  </si>
  <si>
    <t>G101250</t>
  </si>
  <si>
    <t>Service Tax - TPT - Edu Cess</t>
  </si>
  <si>
    <t>G101262</t>
  </si>
  <si>
    <t>Service Tax - TPT - Higher Edu Cess</t>
  </si>
  <si>
    <t>G101851</t>
  </si>
  <si>
    <t>Service Tax - TPT - Krishi Kalyan Cess</t>
  </si>
  <si>
    <t>G101827</t>
  </si>
  <si>
    <t>Service Tax - TPT - Swachh Bharat Cess</t>
  </si>
  <si>
    <t>G101746</t>
  </si>
  <si>
    <t>SHAILESH STEEL TUBES (DEPOSIT A/C.)</t>
  </si>
  <si>
    <t>G100819</t>
  </si>
  <si>
    <t>Shantaben Maneklal</t>
  </si>
  <si>
    <t>G100820</t>
  </si>
  <si>
    <t>Shardaben C. Desai</t>
  </si>
  <si>
    <t>G100821</t>
  </si>
  <si>
    <t>Shardaben V. Patel Or K. S. Patel</t>
  </si>
  <si>
    <t>G101662</t>
  </si>
  <si>
    <t>Share Application Money</t>
  </si>
  <si>
    <t>G101640</t>
  </si>
  <si>
    <t>Share of Profit - Expenses</t>
  </si>
  <si>
    <t>G101639</t>
  </si>
  <si>
    <t>G101048</t>
  </si>
  <si>
    <t>SHIBANI FAMILY TRUST</t>
  </si>
  <si>
    <t>G101049</t>
  </si>
  <si>
    <t>Shibani Nachi Patel (CURRENT A/C.)</t>
  </si>
  <si>
    <t>G100628</t>
  </si>
  <si>
    <t>Shibani Nachi Patel (Share Capital)</t>
  </si>
  <si>
    <t>G100822</t>
  </si>
  <si>
    <t>Shilpa B. Shah</t>
  </si>
  <si>
    <t>G100222</t>
  </si>
  <si>
    <t>Shipment Charges - Expense</t>
  </si>
  <si>
    <t>G101609</t>
  </si>
  <si>
    <t>Shipment Charges - Income</t>
  </si>
  <si>
    <t>G101710</t>
  </si>
  <si>
    <t>Shivaji Pawade</t>
  </si>
  <si>
    <t>G102055</t>
  </si>
  <si>
    <t>SHIVAJI PAWDE - LOAN A/C</t>
  </si>
  <si>
    <t>G101994</t>
  </si>
  <si>
    <t>SHREE GANESH ENTERPRISES (DEPOSIT A/C)</t>
  </si>
  <si>
    <t>G101680</t>
  </si>
  <si>
    <t>SHREE LAXMI WAREHOUSING (DEPOSIT A/C.)</t>
  </si>
  <si>
    <t>G102129</t>
  </si>
  <si>
    <t>SHREENATH STEEL TUBES (DEPOSIT A/C)</t>
  </si>
  <si>
    <t>G100609</t>
  </si>
  <si>
    <t>SINGAPORE DOLLAR $$$$$$$$$$$$$$$$$$$$$$$</t>
  </si>
  <si>
    <t>G100610</t>
  </si>
  <si>
    <t>SINGAPORE DOLLAR - AMERICAN EXPRESS A/C.</t>
  </si>
  <si>
    <t>G101719</t>
  </si>
  <si>
    <t>SKY BEEM TRADERS (Deposit A/c)</t>
  </si>
  <si>
    <t>G100823</t>
  </si>
  <si>
    <t>Snehlata V. Shah</t>
  </si>
  <si>
    <t>G101778</t>
  </si>
  <si>
    <t>Society Maintenance Charges</t>
  </si>
  <si>
    <t>G100223</t>
  </si>
  <si>
    <t>SOFTWARE (ASSET)</t>
  </si>
  <si>
    <t>G102133</t>
  </si>
  <si>
    <t>SOLAR SYSTEM PANELS</t>
  </si>
  <si>
    <t>G101158</t>
  </si>
  <si>
    <t>SOPAN TEMKAR</t>
  </si>
  <si>
    <t>G101423</t>
  </si>
  <si>
    <t>SOPAN TEMKAR(LOAN A/C.)</t>
  </si>
  <si>
    <t>G100751</t>
  </si>
  <si>
    <t>Southern Gujarat Co-Op Bank Limited,</t>
  </si>
  <si>
    <t>G101139</t>
  </si>
  <si>
    <t>SPECIAL ALLOWANCE</t>
  </si>
  <si>
    <t>G100252</t>
  </si>
  <si>
    <t>Spedition Pvt. Ltd.,</t>
  </si>
  <si>
    <t>G101362</t>
  </si>
  <si>
    <t>STABILIZERS</t>
  </si>
  <si>
    <t>G100224</t>
  </si>
  <si>
    <t>Staff Leave Travel Concession</t>
  </si>
  <si>
    <t>G100225</t>
  </si>
  <si>
    <t>G100128</t>
  </si>
  <si>
    <t>STAMP DUTY</t>
  </si>
  <si>
    <t>G101307</t>
  </si>
  <si>
    <t>STANDARD CHARTERED BANK TOYOTA LOAN</t>
  </si>
  <si>
    <t>G101294</t>
  </si>
  <si>
    <t>STANDARD CHARTERED BANK(JMM LOAN)</t>
  </si>
  <si>
    <t>G100875</t>
  </si>
  <si>
    <t>STANDARD CHARTERED BANK-INDICA V2 LOAN</t>
  </si>
  <si>
    <t>G101302</t>
  </si>
  <si>
    <t>STANDARD CHARTERED BANK-TERM LOAN</t>
  </si>
  <si>
    <t>G100876</t>
  </si>
  <si>
    <t>STANDARD CHARTERED GNB - FORD IKON LOAN</t>
  </si>
  <si>
    <t>G100306</t>
  </si>
  <si>
    <t>STANDARD CHARTERED GRINDLAYS - MAA</t>
  </si>
  <si>
    <t>G100307</t>
  </si>
  <si>
    <t>State Bank Of Hyderabad, Bombay</t>
  </si>
  <si>
    <t>G100308</t>
  </si>
  <si>
    <t>STATE BANK OF INDIA - NHAVA SHEVA</t>
  </si>
  <si>
    <t>G100309</t>
  </si>
  <si>
    <t>State Bank Of India, Bombay</t>
  </si>
  <si>
    <t>G100310</t>
  </si>
  <si>
    <t>State Bank Of India, Gandhidham</t>
  </si>
  <si>
    <t>G100311</t>
  </si>
  <si>
    <t>State Bank Of India,Vileparle, Bbay</t>
  </si>
  <si>
    <t>G100312</t>
  </si>
  <si>
    <t>State Bank Of Patiala, Bombay</t>
  </si>
  <si>
    <t>G100313</t>
  </si>
  <si>
    <t>STATE BANK [AIR CARGO] BOMBAY</t>
  </si>
  <si>
    <t>G100314</t>
  </si>
  <si>
    <t>STATE BANK [AIR DUTY] - MUMBAI</t>
  </si>
  <si>
    <t>G100859</t>
  </si>
  <si>
    <t>STD.CHARTERED (AT-486 Loan Account)</t>
  </si>
  <si>
    <t>G100283</t>
  </si>
  <si>
    <t>STD.CHARTERED (CLG-BANGALORE)</t>
  </si>
  <si>
    <t>G100860</t>
  </si>
  <si>
    <t>STD.CHARTERED - AIR CONDITION LOAN</t>
  </si>
  <si>
    <t>G100361</t>
  </si>
  <si>
    <t>STD.CHARTERED - ENRON OIL GUARANTEE</t>
  </si>
  <si>
    <t>G100861</t>
  </si>
  <si>
    <t>STD.CHARTERED - EPABX Loan Account</t>
  </si>
  <si>
    <t>G100362</t>
  </si>
  <si>
    <t>STD.CHARTERED - Fix Deposit</t>
  </si>
  <si>
    <t>G100862</t>
  </si>
  <si>
    <t>STD.CHARTERED - FORD CAR LOAN - I</t>
  </si>
  <si>
    <t>G100863</t>
  </si>
  <si>
    <t>STD.CHARTERED - FORD CAR LOAN - II</t>
  </si>
  <si>
    <t>G100286</t>
  </si>
  <si>
    <t>STD.CHARTERED - M. G. ROAD (CLG)</t>
  </si>
  <si>
    <t>G100864</t>
  </si>
  <si>
    <t>STD.CHARTERED - MH-01-A-5804 Loan A/c.</t>
  </si>
  <si>
    <t>G100287</t>
  </si>
  <si>
    <t>STD.CHARTERED - NEW DELHI (CLG)</t>
  </si>
  <si>
    <t>G100865</t>
  </si>
  <si>
    <t>STD.CHARTERED - NP-270 PHOTOCOPIER LOAN</t>
  </si>
  <si>
    <t>G100866</t>
  </si>
  <si>
    <t>STD.CHARTERED - TATA SIERRA LOAN</t>
  </si>
  <si>
    <t>G100858</t>
  </si>
  <si>
    <t>STD.CHARTERED -HONDA CAR LOAN</t>
  </si>
  <si>
    <t>G101578</t>
  </si>
  <si>
    <t>Steamer Agent Charges - Expense</t>
  </si>
  <si>
    <t>G101577</t>
  </si>
  <si>
    <t>Steamer Agent Charges - Income</t>
  </si>
  <si>
    <t>G100895</t>
  </si>
  <si>
    <t>STERLING AIR CARGO (PAYABLE A/C.)</t>
  </si>
  <si>
    <t>G101574</t>
  </si>
  <si>
    <t>STIPHEND TO TRAINEES</t>
  </si>
  <si>
    <t>G100951</t>
  </si>
  <si>
    <t>Subsistence Allowences</t>
  </si>
  <si>
    <t>G100824</t>
  </si>
  <si>
    <t>Sucheta A. Patel</t>
  </si>
  <si>
    <t>G100572</t>
  </si>
  <si>
    <t>SUDESH B. KHOCHRE</t>
  </si>
  <si>
    <t>G100825</t>
  </si>
  <si>
    <t>Sudha A. Shah</t>
  </si>
  <si>
    <t>G100826</t>
  </si>
  <si>
    <t>Sudha B. Mahadevia</t>
  </si>
  <si>
    <t>G100255</t>
  </si>
  <si>
    <t>Sudha B. Patel, Fixed Capital</t>
  </si>
  <si>
    <t>G100629</t>
  </si>
  <si>
    <t>Sudha Bipin Patel</t>
  </si>
  <si>
    <t>G101650</t>
  </si>
  <si>
    <t>Sujit Kumar Sahoo (Loan A/c)</t>
  </si>
  <si>
    <t>G101384</t>
  </si>
  <si>
    <t>Sundry Deposits</t>
  </si>
  <si>
    <t>G101630</t>
  </si>
  <si>
    <t>Sunil Hunnolli (Loan A/c)</t>
  </si>
  <si>
    <t>G100577</t>
  </si>
  <si>
    <t>SUNIL K. SONAWANE</t>
  </si>
  <si>
    <t>G101834</t>
  </si>
  <si>
    <t>SUNIL PATIL (LOAN A/C)</t>
  </si>
  <si>
    <t>G100827</t>
  </si>
  <si>
    <t>Sunitaben Parivar Trust</t>
  </si>
  <si>
    <t>G100228</t>
  </si>
  <si>
    <t>Surat Office Expenses</t>
  </si>
  <si>
    <t>G100315</t>
  </si>
  <si>
    <t>Surat Office-CASH</t>
  </si>
  <si>
    <t>G101468</t>
  </si>
  <si>
    <t>SURCHARGE (FSC, IRC, XRAY) - Expense</t>
  </si>
  <si>
    <t>G101616</t>
  </si>
  <si>
    <t>SURCHARGE (FSC, IRC, XRAY) - Income</t>
  </si>
  <si>
    <t>G100399</t>
  </si>
  <si>
    <t>Surinder (I) (B) Pvt. Ltd.,</t>
  </si>
  <si>
    <t>G101611</t>
  </si>
  <si>
    <t>G100828</t>
  </si>
  <si>
    <t>Sushila R. Shah</t>
  </si>
  <si>
    <t>G100611</t>
  </si>
  <si>
    <t>SWISS FRANC - AMERICAN EXPRESS A/C.</t>
  </si>
  <si>
    <t>G100612</t>
  </si>
  <si>
    <t>SWISS FRANC - SFR ######################</t>
  </si>
  <si>
    <t>G101413</t>
  </si>
  <si>
    <t>SYLVEEA D`SOUZA</t>
  </si>
  <si>
    <t>G100316</t>
  </si>
  <si>
    <t>Syndicate Bank, Bombay</t>
  </si>
  <si>
    <t>G100468</t>
  </si>
  <si>
    <t>TANAJI GADAGE</t>
  </si>
  <si>
    <t>G100829</t>
  </si>
  <si>
    <t>Tapan M. Shah Or M. R. Shah</t>
  </si>
  <si>
    <t>G100952</t>
  </si>
  <si>
    <t>Tarpaulin Charges</t>
  </si>
  <si>
    <t>G102079</t>
  </si>
  <si>
    <t>TAX ADJUSTMENT FOR EARLIER YEARS</t>
  </si>
  <si>
    <t>G100741</t>
  </si>
  <si>
    <t>Tax Ded. Source Payable (Deducted By Us)</t>
  </si>
  <si>
    <t>G101109</t>
  </si>
  <si>
    <t>TAX DED. SOURCE(2000-2001 ASST.YEAR)RCBL</t>
  </si>
  <si>
    <t>G101357</t>
  </si>
  <si>
    <t>TAX DED. SOURCE(2008-2009 ASST.YEAR)RCBL</t>
  </si>
  <si>
    <t>G101431</t>
  </si>
  <si>
    <t>TAX DED. SOURCE(2009-2010 ASST.YEAR)RCBL</t>
  </si>
  <si>
    <t>G101486</t>
  </si>
  <si>
    <t>TAX DED. SOURCE(2010-2011 ASST.YEAR)RCBL</t>
  </si>
  <si>
    <t>G101575</t>
  </si>
  <si>
    <t>TAX DED. SOURCE(2011-2012 ASST.YEAR)RCBL</t>
  </si>
  <si>
    <t>G101631</t>
  </si>
  <si>
    <t>TAX DED. SOURCE(2012-2013 ASST.YEAR)RCBL</t>
  </si>
  <si>
    <t>G101683</t>
  </si>
  <si>
    <t>TAX DED. SOURCE(2013-2014 ASST.YEAR)RCBL</t>
  </si>
  <si>
    <t>G101725</t>
  </si>
  <si>
    <t>TAX DED. SOURCE(2014-2015 ASST.YEAR)RCBL</t>
  </si>
  <si>
    <t>G101756</t>
  </si>
  <si>
    <t>TAX DED. SOURCE(2015-2016 ASST.YEAR)RCBL</t>
  </si>
  <si>
    <t>G101792</t>
  </si>
  <si>
    <t>TAX DED. SOURCE(2016-2017 ASST.YEAR)RCBL</t>
  </si>
  <si>
    <t>G101839</t>
  </si>
  <si>
    <t>TAX DED. SOURCE(2017-2018 ASST.YEAR)RCBL</t>
  </si>
  <si>
    <t>G101909</t>
  </si>
  <si>
    <t>TAX DED. SOURCE(2018-2019 ASST.YEAR)RCBL</t>
  </si>
  <si>
    <t>G101973</t>
  </si>
  <si>
    <t>TAX DED. SOURCE(2019-2020 ASST.YEAR)RCBL</t>
  </si>
  <si>
    <t>G102020</t>
  </si>
  <si>
    <t>TAX DED. SOURCE(2020-2021 ASST.YEAR)RCBL</t>
  </si>
  <si>
    <t>G102048</t>
  </si>
  <si>
    <t>TAX DED. SOURCE(2021-2022 ASST.YEAR)RCBL</t>
  </si>
  <si>
    <t>G102093</t>
  </si>
  <si>
    <t>TAX DED. SOURCE(2022-2023 ASST.YEAR)RCBL</t>
  </si>
  <si>
    <t>G102107</t>
  </si>
  <si>
    <t>TAX DED. SOURCE(2023-2024 ASST.YEAR)RCBL</t>
  </si>
  <si>
    <t>G102128</t>
  </si>
  <si>
    <t>TAX DED. SOURCE(2024-2025 ASST.YEAR)RCBL</t>
  </si>
  <si>
    <t>G102149</t>
  </si>
  <si>
    <t>TAX DED. SOURCE(2025-2026 ASST.YEAR)RCBL</t>
  </si>
  <si>
    <t>G102161</t>
  </si>
  <si>
    <t>TAX DED. SOURCE(2026-2027 ASST.YEAR)RCBL</t>
  </si>
  <si>
    <t>G102172</t>
  </si>
  <si>
    <t>TAX DED. SOURCE(2027-2028 ASST.YEAR)RCBL</t>
  </si>
  <si>
    <t>G100400</t>
  </si>
  <si>
    <t>Telephone Deposit</t>
  </si>
  <si>
    <t>G100401</t>
  </si>
  <si>
    <t>TELEPHONE DEPOSIT (MOBILE)</t>
  </si>
  <si>
    <t>G100229</t>
  </si>
  <si>
    <t>G100402</t>
  </si>
  <si>
    <t>Telex Deposit</t>
  </si>
  <si>
    <t>G100727</t>
  </si>
  <si>
    <t>Telex Link CTC-4000</t>
  </si>
  <si>
    <t>G100728</t>
  </si>
  <si>
    <t>TEMPO EICHER MITSUBISHI CANTER 1991</t>
  </si>
  <si>
    <t>G100729</t>
  </si>
  <si>
    <t>TEMPO EICHER MITSUBISHI CANTER 1993</t>
  </si>
  <si>
    <t>G101292</t>
  </si>
  <si>
    <t>TENANCY COMPENSATION (HG)</t>
  </si>
  <si>
    <t>G100230</t>
  </si>
  <si>
    <t>Tender Fee</t>
  </si>
  <si>
    <t>G102074</t>
  </si>
  <si>
    <t>TEST01102020</t>
  </si>
  <si>
    <t>G100830</t>
  </si>
  <si>
    <t>Tiles India</t>
  </si>
  <si>
    <t>G100404</t>
  </si>
  <si>
    <t>Timber Pond Deposit Account</t>
  </si>
  <si>
    <t>G100583</t>
  </si>
  <si>
    <t>Tmb, Kandla</t>
  </si>
  <si>
    <t>G100405</t>
  </si>
  <si>
    <t>Torn Note Account.</t>
  </si>
  <si>
    <t>G101391</t>
  </si>
  <si>
    <t>TOYOTA QUALIS MH 01 MA 55</t>
  </si>
  <si>
    <t>G101449</t>
  </si>
  <si>
    <t>TRAFFIC MANAGER INDIRA DOCK TDS RCBL.</t>
  </si>
  <si>
    <t>G100231</t>
  </si>
  <si>
    <t>G101651</t>
  </si>
  <si>
    <t>G101930</t>
  </si>
  <si>
    <t>Transportation Chgs-Income (Non Taxable)</t>
  </si>
  <si>
    <t>G101612</t>
  </si>
  <si>
    <t>G100232</t>
  </si>
  <si>
    <t>G101227</t>
  </si>
  <si>
    <t>TRUCK - EICHER MH 06 AC 2697</t>
  </si>
  <si>
    <t>G101228</t>
  </si>
  <si>
    <t>TRUCK - EICHER MH 06 AC 2699</t>
  </si>
  <si>
    <t>G101229</t>
  </si>
  <si>
    <t>TRUCK - EICHER MH 06 AC 2701</t>
  </si>
  <si>
    <t>G101336</t>
  </si>
  <si>
    <t>TRUCK 20.16EICHER  MH06 AC 107</t>
  </si>
  <si>
    <t>G100233</t>
  </si>
  <si>
    <t>TRUCK MAINTAINANCE</t>
  </si>
  <si>
    <t>G100954</t>
  </si>
  <si>
    <t>Truck Maintance- Pat 6204</t>
  </si>
  <si>
    <t>G100234</t>
  </si>
  <si>
    <t>TRUCK OPERATING EXPENSES</t>
  </si>
  <si>
    <t>G100730</t>
  </si>
  <si>
    <t>TRUCKS - ASHOK LEYLAND TUSKER SUPER</t>
  </si>
  <si>
    <t>G100630</t>
  </si>
  <si>
    <t>Tukaram M. Bandiwdekar (Share Capital)</t>
  </si>
  <si>
    <t>G101348</t>
  </si>
  <si>
    <t>TYPEWRITTERS</t>
  </si>
  <si>
    <t>G100406</t>
  </si>
  <si>
    <t>U. Co Bank D. N. Gratuity</t>
  </si>
  <si>
    <t>G100613</t>
  </si>
  <si>
    <t>U. K. POUND (STERLING POUND) ###########</t>
  </si>
  <si>
    <t>G100614</t>
  </si>
  <si>
    <t>U. K. POUND - AMERICAN EXPRESS A/C.</t>
  </si>
  <si>
    <t>G100615</t>
  </si>
  <si>
    <t>U. S. DOLLAR - FCA $$$$$$$$$$$$$$$$$$$$$</t>
  </si>
  <si>
    <t>G100616</t>
  </si>
  <si>
    <t>U. S. DOLLARS - AMERICAN EXPRESS A/C.</t>
  </si>
  <si>
    <t>G100617</t>
  </si>
  <si>
    <t>U. S. DOLLARS - STANDARD CHARTERED BANK</t>
  </si>
  <si>
    <t>G100317</t>
  </si>
  <si>
    <t>Uco Bank , Ludhiana</t>
  </si>
  <si>
    <t>G100752</t>
  </si>
  <si>
    <t>UCO BANK - FDR - BHEL Guarantee</t>
  </si>
  <si>
    <t>G100753</t>
  </si>
  <si>
    <t>UCO BANK - FDR - CONTAINER CORPN.</t>
  </si>
  <si>
    <t>G100407</t>
  </si>
  <si>
    <t>UCO BANK - FDR - COTTON CORPN.OF INDIA</t>
  </si>
  <si>
    <t>G100754</t>
  </si>
  <si>
    <t>UCO Bank - FDR - Delhi Customs Guarantee</t>
  </si>
  <si>
    <t>G100755</t>
  </si>
  <si>
    <t>UCO Bank - FDR - IATA Guarantee Margin</t>
  </si>
  <si>
    <t>G100756</t>
  </si>
  <si>
    <t>UCO Bank - FDR - ONGC Guarantee Margin_1</t>
  </si>
  <si>
    <t>G100757</t>
  </si>
  <si>
    <t>UCO Bank - FDR - ONGC Guarantee Margin_2</t>
  </si>
  <si>
    <t>G100758</t>
  </si>
  <si>
    <t>UCO BANK - FDR - RCF GURANTEE MARGIN</t>
  </si>
  <si>
    <t>G100318</t>
  </si>
  <si>
    <t>UCO BANK D.N. ROAD BOMBAY</t>
  </si>
  <si>
    <t>G100759</t>
  </si>
  <si>
    <t>Uco Bank Gurantee Margin</t>
  </si>
  <si>
    <t>G100319</t>
  </si>
  <si>
    <t>UCO BANK HAMAM STREET MUMBAI</t>
  </si>
  <si>
    <t>G100320</t>
  </si>
  <si>
    <t>Uco Bank, D.N.Air Cargo, Bombay</t>
  </si>
  <si>
    <t>G100321</t>
  </si>
  <si>
    <t>UCO Bank, Hamam Street,</t>
  </si>
  <si>
    <t>G100322</t>
  </si>
  <si>
    <t>Uco. Bank, Ahmedabad</t>
  </si>
  <si>
    <t>G100323</t>
  </si>
  <si>
    <t>Uco. Bank, Gandhidham</t>
  </si>
  <si>
    <t>G100324</t>
  </si>
  <si>
    <t>Uco. Bank, Surat</t>
  </si>
  <si>
    <t>G100325</t>
  </si>
  <si>
    <t>Union Bank Of India, Ahmedabad</t>
  </si>
  <si>
    <t>G100326</t>
  </si>
  <si>
    <t>Union Bank Of India,B.S.Marg, Bbay</t>
  </si>
  <si>
    <t>G100327</t>
  </si>
  <si>
    <t>Union Bank Of India,Bazar Gate,Bom</t>
  </si>
  <si>
    <t>G101970</t>
  </si>
  <si>
    <t>UNIQUE MARINE SERVICES (DEPOSIT A/C)</t>
  </si>
  <si>
    <t>G102099</t>
  </si>
  <si>
    <t>UNIQUE METALS &amp; PROFILES (DEPOSIT A/C)</t>
  </si>
  <si>
    <t>G100760</t>
  </si>
  <si>
    <t>Unit Trust Of India</t>
  </si>
  <si>
    <t>G100328</t>
  </si>
  <si>
    <t>United Western Bank, Bombay</t>
  </si>
  <si>
    <t>G101967</t>
  </si>
  <si>
    <t>UNMESH CHOPDEKAR</t>
  </si>
  <si>
    <t>G101455</t>
  </si>
  <si>
    <t>UPS SYSTEMS</t>
  </si>
  <si>
    <t>G100831</t>
  </si>
  <si>
    <t>Urmila C.Taktawala</t>
  </si>
  <si>
    <t>G100832</t>
  </si>
  <si>
    <t>Usha K. Patel</t>
  </si>
  <si>
    <t>G100584</t>
  </si>
  <si>
    <t>V. B. Pawar</t>
  </si>
  <si>
    <t>G100585</t>
  </si>
  <si>
    <t>V. K. Joshi</t>
  </si>
  <si>
    <t>G102005</t>
  </si>
  <si>
    <t>V. K. JOSHI (LOAN A/c)</t>
  </si>
  <si>
    <t>G100483</t>
  </si>
  <si>
    <t>V. L. JAGTAP</t>
  </si>
  <si>
    <t>G101484</t>
  </si>
  <si>
    <t>V. L. JAGTAP(LOAN A/C.)</t>
  </si>
  <si>
    <t>G100586</t>
  </si>
  <si>
    <t>V. M. Keer</t>
  </si>
  <si>
    <t>G100587</t>
  </si>
  <si>
    <t>V. N. Raval</t>
  </si>
  <si>
    <t>G100833</t>
  </si>
  <si>
    <t>V. S. Jagtiani</t>
  </si>
  <si>
    <t>G100481</t>
  </si>
  <si>
    <t>V. V. BHAYDE</t>
  </si>
  <si>
    <t>G101629</t>
  </si>
  <si>
    <t>VASANT JAGTAP</t>
  </si>
  <si>
    <t>G100896</t>
  </si>
  <si>
    <t>Vashistha Manilal Patel</t>
  </si>
  <si>
    <t>G101906</t>
  </si>
  <si>
    <t>VED PRAKASH CHAURASIYA</t>
  </si>
  <si>
    <t>G101732</t>
  </si>
  <si>
    <t>Veer Brothers Deposit A/c</t>
  </si>
  <si>
    <t>G101819</t>
  </si>
  <si>
    <t>VENKATESH NAMBI (LOAN A/C)</t>
  </si>
  <si>
    <t>G101420</t>
  </si>
  <si>
    <t>VIJAY KEER (LOAN A/C,)</t>
  </si>
  <si>
    <t>G102036</t>
  </si>
  <si>
    <t>VIJAY RENUSHE - LOAN A/C</t>
  </si>
  <si>
    <t>G100329</t>
  </si>
  <si>
    <t>Vijaya Bank, Bombay</t>
  </si>
  <si>
    <t>G101755</t>
  </si>
  <si>
    <t>VILAS PANSARE</t>
  </si>
  <si>
    <t>G102056</t>
  </si>
  <si>
    <t>VILAS PANSARE - LOAN A/C</t>
  </si>
  <si>
    <t>G100834</t>
  </si>
  <si>
    <t>Vimlaben K. Patel Or K. S. Patel</t>
  </si>
  <si>
    <t>G101829</t>
  </si>
  <si>
    <t>VINOD DABADE</t>
  </si>
  <si>
    <t>G101830</t>
  </si>
  <si>
    <t>VINOD DABADE (LOAN A/C)</t>
  </si>
  <si>
    <t>G101751</t>
  </si>
  <si>
    <t>VINOD DABDE</t>
  </si>
  <si>
    <t>G101769</t>
  </si>
  <si>
    <t>Vinod Singh</t>
  </si>
  <si>
    <t>G101474</t>
  </si>
  <si>
    <t>Virendra B. Singh (Loan A/c)</t>
  </si>
  <si>
    <t>G101690</t>
  </si>
  <si>
    <t>Vora Bros &amp; Co. Deposit A/c</t>
  </si>
  <si>
    <t>G101130</t>
  </si>
  <si>
    <t>VRS RAMAN</t>
  </si>
  <si>
    <t>G101840</t>
  </si>
  <si>
    <t>WAGON-R LXI CNG (DELHI) DL2CAV2221</t>
  </si>
  <si>
    <t>G101817</t>
  </si>
  <si>
    <t>Warehouse at Tirupur</t>
  </si>
  <si>
    <t>G102134</t>
  </si>
  <si>
    <t>Waste Paper Recycling - Income</t>
  </si>
  <si>
    <t>G100731</t>
  </si>
  <si>
    <t>Water Cooler At Delhi</t>
  </si>
  <si>
    <t>G100732</t>
  </si>
  <si>
    <t>Water Cooler Machine,</t>
  </si>
  <si>
    <t>G100733</t>
  </si>
  <si>
    <t>Weighment Machine</t>
  </si>
  <si>
    <t>G100956</t>
  </si>
  <si>
    <t>WORKMAN COMPENSATION PAID TO EMPLOYEES</t>
  </si>
  <si>
    <t>G101548</t>
  </si>
  <si>
    <t>X-Ray Charges - Expense</t>
  </si>
  <si>
    <t>G101613</t>
  </si>
  <si>
    <t>X-Ray Charges - Income</t>
  </si>
  <si>
    <t>(no item)</t>
  </si>
  <si>
    <t>I100000653 | DL-3C-BD-2114 Valid Till:31/12/2020</t>
  </si>
  <si>
    <t>I100000998 | DL-3C-BD-2114 Valid Till:31/12/2026</t>
  </si>
  <si>
    <t>I100000209 | MH-01-Q-8655 Valid Till:31/12/2015</t>
  </si>
  <si>
    <t>I100001272 | 02219565397 - AIRTEL WIFI Valid Till:31/07/2026</t>
  </si>
  <si>
    <t>I100000213 | MH-01-H-637 Valid Till:31/12/2015</t>
  </si>
  <si>
    <t>I100000081 | GENERATOR Valid Till:31/12/2015</t>
  </si>
  <si>
    <t>I100000010 | 192 B SALARY Valid Till:09/02/2023</t>
  </si>
  <si>
    <t>I100000225 | MH-06-3973 Valid Till:31/12/2015</t>
  </si>
  <si>
    <t>I100000060 | A A MAPARA Valid Till:31/12/2015</t>
  </si>
  <si>
    <t>I100000224 | AIRPORT OFFICE Valid Till:31/12/2015</t>
  </si>
  <si>
    <t>I100000861 | A.N.HANDE Valid Till:31/12/2026</t>
  </si>
  <si>
    <t>I100001235 | HEMA MADAM CAR EXPS Valid Till:31/12/2030</t>
  </si>
  <si>
    <t>I100001269 | MH01EJ3673 Valid Till:31/12/2030</t>
  </si>
  <si>
    <t>I100000180 | MH-01-RA-1135 Valid Till:31/12/2015</t>
  </si>
  <si>
    <t>I100000012 | 22041199 - HO EPBX Valid Till:31/12/2012</t>
  </si>
  <si>
    <t>I100000212 | MH-01-H-638 Valid Till:31/12/2015</t>
  </si>
  <si>
    <t>I100000050 | MH-01-H-637 Valid Till:31/12/2015</t>
  </si>
  <si>
    <t>I100000006 | 194 A INTEREST OTHERS Valid Till:09/02/2023</t>
  </si>
  <si>
    <t>I100000091 | A B SAKPAL Valid Till:31/12/2015</t>
  </si>
  <si>
    <t>I100000210 | DRONAGIRI Valid Till:31/12/2015</t>
  </si>
  <si>
    <t>I100000876 | BALKRISHNA PARULEKAR Valid Till:31/12/2026</t>
  </si>
  <si>
    <t>I100001264 | MARUTI VITARA (MH-01-ER-7080) Valid Till:31/12/2030</t>
  </si>
  <si>
    <t>I100001268 | MH01ER7080 Valid Till:31/12/2030</t>
  </si>
  <si>
    <t>I100000208 | MH-03-A-5631 Valid Till:31/12/2015</t>
  </si>
  <si>
    <t>I100000135 | 22041307 Valid Till:31/12/2012</t>
  </si>
  <si>
    <t>I100000215 | MH-04-S-129 Valid Till:31/12/2015</t>
  </si>
  <si>
    <t>I100000051 | MH-01-H-638 Valid Till:31/12/2015</t>
  </si>
  <si>
    <t>I100000005 | 194 C CONTRACTOR Valid Till:09/02/2023</t>
  </si>
  <si>
    <t>I100000059 | A B THUBE Valid Till:31/12/2015</t>
  </si>
  <si>
    <t>I100000099 | GODOWN - COTTONGREEN DEPOT H Valid Till:31/12/2015</t>
  </si>
  <si>
    <t>I100000914 | GEORGE CHANDRAN Valid Till:31/12/2026</t>
  </si>
  <si>
    <t>I100001207 | MH-01-CP-1672 Valid Till:31/12/2036</t>
  </si>
  <si>
    <t>I100000366 | MH-01-P-1819 Valid Till:31/12/2015</t>
  </si>
  <si>
    <t>I100000040 | MH-06-R-6136 Valid Till:31/12/2015</t>
  </si>
  <si>
    <t>I100000134 | 22041308 Valid Till:31/12/2012</t>
  </si>
  <si>
    <t>I100000076 | MH-06-AC-107 Valid Till:31/12/2015</t>
  </si>
  <si>
    <t>I100000049 | MH-04-S-129 Valid Till:31/12/2015</t>
  </si>
  <si>
    <t>I100000007 | 194 H COMMISSION / BROKERAGE Valid Till:09/02/2023</t>
  </si>
  <si>
    <t>I100000092 | A M GOTHANKAR Valid Till:31/12/2015</t>
  </si>
  <si>
    <t>I100000204 | HEAD OFFICE  - SPEDITION Valid Till:31/12/2015</t>
  </si>
  <si>
    <t>I100000863 | HEMANT KAWLE Valid Till:31/12/2026</t>
  </si>
  <si>
    <t>I100001230 | MH01EJ3673 Valid Till:31/12/2026</t>
  </si>
  <si>
    <t>I100000249 | MH-01-R-1061 Valid Till:31/12/2015</t>
  </si>
  <si>
    <t>I100000041 | MH-06-R-6138 Valid Till:31/12/2015</t>
  </si>
  <si>
    <t>I100000132 | 22041309 Valid Till:31/12/2012</t>
  </si>
  <si>
    <t>I100000078 | MH-06-AC-2697 Valid Till:31/12/2015</t>
  </si>
  <si>
    <t>I100000052 | MH-06-3973 Valid Till:31/12/2015</t>
  </si>
  <si>
    <t>I100000008 | 194 I RENT Valid Till:09/02/2023</t>
  </si>
  <si>
    <t>I100000169 | A N HANDE Valid Till:23/12/2015</t>
  </si>
  <si>
    <t>I100000236 | SBP - MANEK Valid Till:31/12/2015</t>
  </si>
  <si>
    <t>I100001098 | HITENDRA MHATRE Valid Till:31/12/2026</t>
  </si>
  <si>
    <t>I100000183 | MH-01-P-1819 Valid Till:31/12/2015</t>
  </si>
  <si>
    <t>I100000171 | MH-06-AB-256 Valid Till:31/12/2015</t>
  </si>
  <si>
    <t>I100000182 | MH-06-R-7427 Valid Till:31/12/2015</t>
  </si>
  <si>
    <t>I100000133 | 22041507 Valid Till:31/12/2012</t>
  </si>
  <si>
    <t>I100000037 | MH-06-AC-2699 Valid Till:31/12/2015</t>
  </si>
  <si>
    <t>I100000075 | MH-06-AC-107 Valid Till:31/12/2015</t>
  </si>
  <si>
    <t>I100000009 | 194 J PROFESSIONAL FEES Valid Till:09/02/2023</t>
  </si>
  <si>
    <t>I100000473 | A R RELE Valid Till:31/12/2015</t>
  </si>
  <si>
    <t>I100000272 | SURAT OFFICE Valid Till:31/05/2015</t>
  </si>
  <si>
    <t>I100000868 | J.A.REPALE Valid Till:31/12/2026</t>
  </si>
  <si>
    <t>I100000039 | MH-01-R-1061 Valid Till:01/07/2011</t>
  </si>
  <si>
    <t>I100000117 | MH-06-AB-4945 Valid Till:31/12/2012</t>
  </si>
  <si>
    <t>I100000181 | MH-06-X-3914 Valid Till:31/12/2015</t>
  </si>
  <si>
    <t>I100000137 | 22044895 Valid Till:31/12/2012</t>
  </si>
  <si>
    <t>I100000038 | MH-06-AC-2701 Valid Till:31/12/2015</t>
  </si>
  <si>
    <t>I100000054 | MH-06-AC-2697 Valid Till:31/12/2015</t>
  </si>
  <si>
    <t>I100000606 | 195 NON-RESIDENTS PAYMENT Valid Till:06/01/2019</t>
  </si>
  <si>
    <t>I100001233 | AAKARSH CHAVAN Valid Till:31/12/2030</t>
  </si>
  <si>
    <t>I100000869 | K.B.CHIKANE Valid Till:31/12/2026</t>
  </si>
  <si>
    <t>I100000489 | MH-04-DR-1561 Valid Till:31/12/2015</t>
  </si>
  <si>
    <t>I100000046 | MH-06-W-7192 Valid Till:31/12/2015</t>
  </si>
  <si>
    <t>I100000662 | MH-46-AA-8097 Valid Till:31/12/2020</t>
  </si>
  <si>
    <t>I100000131 | 22044947 Valid Till:31/12/2012</t>
  </si>
  <si>
    <t>I100000214 | MH-06-G-6478 Valid Till:31/12/2015</t>
  </si>
  <si>
    <t>I100000055 | MH-06-AC-2699 Valid Till:31/12/2015</t>
  </si>
  <si>
    <t>I100000991 | AJAY GAVALE Valid Till:31/07/2025</t>
  </si>
  <si>
    <t>I100000864 | K.B.LOKHANDE Valid Till:31/12/2026</t>
  </si>
  <si>
    <t>I100000655 | MH-04-GJ-4614 Valid Till:31/12/2020</t>
  </si>
  <si>
    <t>I100000240 | MH-43-L-667 Valid Till:31/12/2015</t>
  </si>
  <si>
    <t>I100000139 | 22046293 Valid Till:31/12/2012</t>
  </si>
  <si>
    <t>I100000077 | MH-06-K-6157 Valid Till:31/12/2015</t>
  </si>
  <si>
    <t>I100000080 | MH-06-AC-2701 Valid Till:31/12/2015</t>
  </si>
  <si>
    <t>I100000647 | AJAY TALIM Valid Till:31/12/2020</t>
  </si>
  <si>
    <t>I100000870 | KONDIBHAU GADGE Valid Till:31/12/2026</t>
  </si>
  <si>
    <t>I100000118 | MH-06-4946 Valid Till:31/12/2015</t>
  </si>
  <si>
    <t>I100000172 | MH-43-R-6541 Valid Till:31/12/2015</t>
  </si>
  <si>
    <t>I100000245 | 22048286 Valid Till:31/12/2012</t>
  </si>
  <si>
    <t>I100000053 | MH-06-G-6478 Valid Till:31/12/2015</t>
  </si>
  <si>
    <t>I100000151 | ANAND VICHARE Valid Till:31/12/2015</t>
  </si>
  <si>
    <t>I100000871 | KRISHNA SHINDE Valid Till:31/12/2026</t>
  </si>
  <si>
    <t>I100000044 | MH-06-AB-256 Valid Till:31/12/2015</t>
  </si>
  <si>
    <t>I100000247 | MH-43-V-5614 Valid Till:31/12/2015</t>
  </si>
  <si>
    <t>I100000138 | 22844276 Valid Till:31/12/2012</t>
  </si>
  <si>
    <t>I100000079 | MH-06-K-6157 Valid Till:31/12/2015</t>
  </si>
  <si>
    <t>I100000205 | ANIL THAKAR Valid Till:31/12/2015</t>
  </si>
  <si>
    <t>I100000865 | L.P.POOJARY Valid Till:31/12/2026</t>
  </si>
  <si>
    <t>I100000048 | MH-06-AB-410 Valid Till:31/12/2015</t>
  </si>
  <si>
    <t>I100000365 | MH-43-V-6169 Valid Till:31/12/2015</t>
  </si>
  <si>
    <t>I100000101 | 22844277 Valid Till:31/12/2012</t>
  </si>
  <si>
    <t>I100001049 | ANKUSH BANGLURKAR Valid Till:31/08/2026</t>
  </si>
  <si>
    <t>I100000966 | MACHHINDRA KHEDEKAR Valid Till:31/12/2026</t>
  </si>
  <si>
    <t>I100000665 | MH-06-AB-4945 Valid Till:31/12/2020</t>
  </si>
  <si>
    <t>I100000273 | MH-43-X-3495 Valid Till:31/12/2015</t>
  </si>
  <si>
    <t>I100000156 | 22844278 Valid Till:31/12/2012</t>
  </si>
  <si>
    <t>I100001238 | ANMOL MALEKAR Valid Till:31/12/2030</t>
  </si>
  <si>
    <t>I100000965 | MANOJ KOLI Valid Till:31/12/2026</t>
  </si>
  <si>
    <t>I100000045 | MH-06-W-7192_DIESEL EXPS Valid Till:31/12/2015</t>
  </si>
  <si>
    <t>I100000244 | MH-43-X-9481 Valid Till:31/12/2015</t>
  </si>
  <si>
    <t>I100000089 | 23624564 Valid Till:31/12/2012</t>
  </si>
  <si>
    <t>I100001064 | APARNA AYARE Valid Till:30/09/2026</t>
  </si>
  <si>
    <t>I100001246 | NISHANT THAKUR Valid Till:31/12/2030</t>
  </si>
  <si>
    <t>I100000851 | MH-06-W-7192_PARKING CHGS Valid Till:31/12/2026</t>
  </si>
  <si>
    <t>I100000418 | MH-46-A-186 Valid Till:31/12/2015</t>
  </si>
  <si>
    <t>I100000087 | 23640947 Valid Till:31/12/2012</t>
  </si>
  <si>
    <t>I100000490 | ARJUN JHA Valid Till:31/12/2015</t>
  </si>
  <si>
    <t>I100000872 | P.S.SHRINGARE Valid Till:31/12/2026</t>
  </si>
  <si>
    <t>I100000850 | MH-06-W-7192_TOLL CHGS Valid Till:31/12/2026</t>
  </si>
  <si>
    <t>I100001267 | MH46BA1359 Valid Till:31/03/2030</t>
  </si>
  <si>
    <t>I100000143 | 23758648 Valid Till:31/12/2012</t>
  </si>
  <si>
    <t>I100001262 | ASHISH MAGAN Valid Till:31/03/2030</t>
  </si>
  <si>
    <t>I100000893 | R.D.PATIL Valid Till:31/12/2026</t>
  </si>
  <si>
    <t>I100000233 | MH-12-PE-5477 Valid Till:31/12/2015</t>
  </si>
  <si>
    <t>I100000466 | MH-46-N-5284 Valid Till:31/12/2015</t>
  </si>
  <si>
    <t>I100000088 | 23758649 Valid Till:31/12/2012</t>
  </si>
  <si>
    <t>I100001261 | ASHOK KUMAR Valid Till:31/03/2030</t>
  </si>
  <si>
    <t>I100000866 | RUPESH GHADI Valid Till:31/12/2026</t>
  </si>
  <si>
    <t>I100000239 | MH-43-L-667 Valid Till:31/12/2015</t>
  </si>
  <si>
    <t>I100000560 | MH-46-W-6316 Valid Till:31/12/2015</t>
  </si>
  <si>
    <t>I100000271 | 2426087 - Surat Office Valid Till:31/05/2015</t>
  </si>
  <si>
    <t>I100000154 | BABAJI NAVLE Valid Till:31/12/2015</t>
  </si>
  <si>
    <t>I100000873 | S.T.ZAWARE Valid Till:31/12/2026</t>
  </si>
  <si>
    <t>I100000119 | MH-43-R-6541 Valid Till:31/12/2015</t>
  </si>
  <si>
    <t>I100000566 | MH-46-X-392 Valid Till:31/12/2016</t>
  </si>
  <si>
    <t>I100000155 | 24472405 Valid Till:31/12/2012</t>
  </si>
  <si>
    <t>I100001000 | BAJRANG MISHRA Valid Till:31/12/2026</t>
  </si>
  <si>
    <t>I100000862 | SACHIN LAD Valid Till:31/12/2026</t>
  </si>
  <si>
    <t>I100000003 | MH-43-V-5614 Valid Till:09/12/2016</t>
  </si>
  <si>
    <t>I100000834 | MH-46-X-8360 Valid Till:31/12/2026</t>
  </si>
  <si>
    <t>I100000167 | 26817193 - AIRPORT Valid Till:23/12/2014</t>
  </si>
  <si>
    <t>I100000667 | BALA CHANDER Valid Till:31/12/2020</t>
  </si>
  <si>
    <t>I100000963 | SANDEEP KALANTRE Valid Till:31/12/2026</t>
  </si>
  <si>
    <t>I100000043 | MH-43-V-6169 Valid Till:31/12/2015</t>
  </si>
  <si>
    <t>I100000568 | MH-46-X-864 Valid Till:31/12/2016</t>
  </si>
  <si>
    <t>I100000166 | 26828754 - AIRPORT Valid Till:23/12/2014</t>
  </si>
  <si>
    <t>I100000856 | BALKRISHNA PARULEKAR Valid Till:31/12/2026</t>
  </si>
  <si>
    <t>I100000949 | SANJAY BENDRE Valid Till:31/12/2026</t>
  </si>
  <si>
    <t>I100000120 | MH-43-X-3495 Valid Till:31/12/2015</t>
  </si>
  <si>
    <t>I100000977 | TN-04-AS-9760 Valid Till:31/12/2026</t>
  </si>
  <si>
    <t>I100000140 | 27240275 Valid Till:31/12/2012</t>
  </si>
  <si>
    <t>I100001260 | BHARATKUMAR CHAUHAN Valid Till:31/03/2030</t>
  </si>
  <si>
    <t>I100000867 | SHIVAJI PAWADE Valid Till:31/12/2026</t>
  </si>
  <si>
    <t>I100000004 | MH-43-X-9481 Valid Till:09/12/2016</t>
  </si>
  <si>
    <t>I100000141 | 27240284 Valid Till:31/12/2012</t>
  </si>
  <si>
    <t>I100000206 | BHAVIN MARFATIA Valid Till:31/12/2015</t>
  </si>
  <si>
    <t>I100001066 | TRIVENDRA THAKUR Valid Till:31/12/2026</t>
  </si>
  <si>
    <t>I100000417 | MH-46-A-186 Valid Till:29/11/2015</t>
  </si>
  <si>
    <t>I100000170 | 27240289 - JNPT Valid Till:24/12/2015</t>
  </si>
  <si>
    <t>I100001031 | BHAWIN BAWRA Valid Till:31/08/2026</t>
  </si>
  <si>
    <t>I100001040 | VED CHAURASIYA Valid Till:31/08/2026</t>
  </si>
  <si>
    <t>I100001101 | MH-46-BA-1359 Valid Till:31/03/2026</t>
  </si>
  <si>
    <t>I100000142 | 27240455 Valid Till:31/12/2012</t>
  </si>
  <si>
    <t>I100000248 | BIPIN JANI Valid Till:31/12/2015</t>
  </si>
  <si>
    <t>I100000874 | VILAS PANSARE Valid Till:31/12/2026</t>
  </si>
  <si>
    <t>I100000465 | MH-46-N-5284_GAS Valid Till:28/10/2023</t>
  </si>
  <si>
    <t>I100000250 | 27240920 Valid Till:31/12/2015</t>
  </si>
  <si>
    <t>I100000217 | C BAIKAR Valid Till:31/03/2016</t>
  </si>
  <si>
    <t>I100000875 | VINOD DABADE Valid Till:31/12/2026</t>
  </si>
  <si>
    <t>I100000843 | MH-46-N-5284_PARKING CHG Valid Till:31/12/2026</t>
  </si>
  <si>
    <t>I100000159 | 27240931 - JNPT Valid Till:23/12/2014</t>
  </si>
  <si>
    <t>I100000479 | C N Kamthe Valid Till:31/12/2015</t>
  </si>
  <si>
    <t>I100001150 | VIRENDRA SAWANT Valid Till:31/12/2026</t>
  </si>
  <si>
    <t>I100000838 | MH-46-N-5284_PETROL Valid Till:28/10/2025</t>
  </si>
  <si>
    <t>I100000161 | 27240946 - JNPT Valid Till:23/12/2015</t>
  </si>
  <si>
    <t>I100000656 | CHETAN SAWANT Valid Till:31/12/2020</t>
  </si>
  <si>
    <t>I100001030 | VISHNU KOLI Valid Till:31/07/2026</t>
  </si>
  <si>
    <t>I100000842 | MH-46-N-5284_TOLL CHGS Valid Till:31/12/2026</t>
  </si>
  <si>
    <t>I100000361 | 27240954 Valid Till:31/12/2015</t>
  </si>
  <si>
    <t>I100000061 | D C PARMAR Valid Till:31/12/2015</t>
  </si>
  <si>
    <t>I100000559 | MH-46-W-6316_DIESEL EXPS Valid Till:31/12/2026</t>
  </si>
  <si>
    <t>I100000163 | 27241376 - JNPT Valid Till:23/12/2014</t>
  </si>
  <si>
    <t>I100000219 | D K PAWAR Valid Till:31/12/2015</t>
  </si>
  <si>
    <t>I100000849 | MH-46-W-6316_PARKING CHGS Valid Till:31/12/2026</t>
  </si>
  <si>
    <t>I100000164 | 27241378 - JNPT Valid Till:23/12/2014</t>
  </si>
  <si>
    <t>I100000158 | D N JHA Valid Till:23/12/2015</t>
  </si>
  <si>
    <t>I100000848 | MH-46-W-6316_TOLL CHGS Valid Till:31/12/2026</t>
  </si>
  <si>
    <t>I100000165 | 27241379 - JNPT Valid Till:23/12/2014</t>
  </si>
  <si>
    <t>I100000469 | Darshan Jajal Valid Till:31/12/2015</t>
  </si>
  <si>
    <t>I100000565 | MH-46-X-392_DIESEL EXPS Valid Till:31/12/2016</t>
  </si>
  <si>
    <t>I100000162 | 27242175 JNPT Valid Till:23/12/2014</t>
  </si>
  <si>
    <t>I100001065 | DARSHANA KUDTARKAR Valid Till:30/09/2026</t>
  </si>
  <si>
    <t>I100000845 | MH-46-X-392_PARKING CHGS Valid Till:31/12/2026</t>
  </si>
  <si>
    <t>I100000136 | 27242461 Valid Till:31/12/2012</t>
  </si>
  <si>
    <t>I100000633 | DATTA WAMAN Valid Till:31/12/2016</t>
  </si>
  <si>
    <t>I100000844 | MH-46-X-392_TOLL CHGS Valid Till:31/12/2026</t>
  </si>
  <si>
    <t>I100000160 | 27243095 - JNPT Valid Till:23/12/2013</t>
  </si>
  <si>
    <t>I100001236 | DEVENDRA SHARMA Valid Till:31/03/2032</t>
  </si>
  <si>
    <t>I100000847 | MH-46-X-8360_PARKING CHGS Valid Till:31/12/2026</t>
  </si>
  <si>
    <t>I100000102 | 65116235 - DRONAGIRI Valid Till:31/12/2012</t>
  </si>
  <si>
    <t>I100000419 | Dilip V Bhosle Valid Till:31/12/2015</t>
  </si>
  <si>
    <t>I100000611 | MH-46-X-8360_PETROL EXPS Valid Till:31/01/2020</t>
  </si>
  <si>
    <t>I100000103 | 65150554 - AIRPORT OFFICE Valid Till:31/12/2012</t>
  </si>
  <si>
    <t>I100000090 | DINESH RAUT Valid Till:31/12/2015</t>
  </si>
  <si>
    <t>I100000846 | MH-46-X-8360_TOLL CHGS Valid Till:31/12/2026</t>
  </si>
  <si>
    <t>I100000104 | 65150649 - GODOWN COTTONGREEN Valid Till:31/12/2012</t>
  </si>
  <si>
    <t>I100000492 | Dnyanesh Thorat Valid Till:31/12/2015</t>
  </si>
  <si>
    <t>I100000567 | MH-46-X-864_GAS Valid Till:31/12/2016</t>
  </si>
  <si>
    <t>I100000184 | 65275577 - GURU Valid Till:31/12/2012</t>
  </si>
  <si>
    <t>I100000223 | G N SAWANT Valid Till:31/12/2015</t>
  </si>
  <si>
    <t>I100000841 | MH-46-X-864_PARKING CHGS Valid Till:31/12/2026</t>
  </si>
  <si>
    <t>I100000185 | 65275578 - PREMAL Valid Till:31/12/2012</t>
  </si>
  <si>
    <t>I100000062 | G S DUDWADKAR Valid Till:31/12/2015</t>
  </si>
  <si>
    <t>I100000839 | MH-46-X-864_PETROL Valid Till:31/12/2026</t>
  </si>
  <si>
    <t>I100000105 | 65297468 - HO Valid Till:31/12/2012</t>
  </si>
  <si>
    <t>I100000969 | GAJENDRA NAGDA Valid Till:31/12/2026</t>
  </si>
  <si>
    <t>I100000840 | MH-46-X-864_TOLL CHG Valid Till:31/12/2026</t>
  </si>
  <si>
    <t>I100000186 | 66318563 - NIRAV Valid Till:31/12/2012</t>
  </si>
  <si>
    <t>I100000654 | GAURESH L. PRABHU Valid Till:31/12/2020</t>
  </si>
  <si>
    <t>I100000598 | MRG-7080 (Triump - Herald) Valid Till:28/09/2019</t>
  </si>
  <si>
    <t>I100000600 | 7506250226 Valid Till:14/10/2019</t>
  </si>
  <si>
    <t>I100001265 | GAUTAMI POOJARI Valid Till:31/12/2026</t>
  </si>
  <si>
    <t>I100000651 | TN-04-AJ-9760 Valid Till:31/12/2020</t>
  </si>
  <si>
    <t>I100000601 | 7506250227 Valid Till:14/10/2018</t>
  </si>
  <si>
    <t>I100000759 | GIRISH Valid Till:31/12/2020</t>
  </si>
  <si>
    <t>I100000251 | 7666777601 Valid Till:31/10/2010</t>
  </si>
  <si>
    <t>I100000599 | HEMA TANNA Valid Till:12/10/2023</t>
  </si>
  <si>
    <t>I100000252 | 7666777602 Valid Till:31/10/2010</t>
  </si>
  <si>
    <t>I100000677 | HEMANT KAWLE Valid Till:31/12/2020</t>
  </si>
  <si>
    <t>I100000253 | 7666777603 Valid Till:31/10/2010</t>
  </si>
  <si>
    <t>I100000412 | Henry Valid Till:31/12/2015</t>
  </si>
  <si>
    <t>I100000254 | 7666777604 Valid Till:31/10/2010</t>
  </si>
  <si>
    <t>I100001126 | HITENDRA MHATRE Valid Till:31/12/2026</t>
  </si>
  <si>
    <t>I100000255 | 7666777605 Valid Till:31/10/2010</t>
  </si>
  <si>
    <t>I100000063 | J A REPALE Valid Till:31/12/2015</t>
  </si>
  <si>
    <t>I100000256 | 7666777606 Valid Till:31/10/2010</t>
  </si>
  <si>
    <t>I100000064 | J D PATIL Valid Till:31/12/2015</t>
  </si>
  <si>
    <t>I100000257 | 7666777607 Valid Till:31/10/2010</t>
  </si>
  <si>
    <t>I100001069 | JAGDISH SINGH Valid Till:31/10/2026</t>
  </si>
  <si>
    <t>I100000258 | 7666777608 Valid Till:31/10/2010</t>
  </si>
  <si>
    <t>I100001026 | JAYESH H MHATRE Valid Till:31/07/2026</t>
  </si>
  <si>
    <t>I100000259 | 7666777609 Valid Till:31/10/2010</t>
  </si>
  <si>
    <t>I100000468 | Jolly Emerson Valid Till:31/12/2015</t>
  </si>
  <si>
    <t>I100000260 | 7666777610 Valid Till:31/10/2010</t>
  </si>
  <si>
    <t>I100000179 | K B CHIKANE Valid Till:23/12/2015</t>
  </si>
  <si>
    <t>I100000261 | 7666777611 Valid Till:31/10/2010</t>
  </si>
  <si>
    <t>I100000065 | K B LOKHANDE Valid Till:31/12/2015</t>
  </si>
  <si>
    <t>I100000262 | 7666777612 Valid Till:31/10/2010</t>
  </si>
  <si>
    <t>I100000066 | K J SHAH Valid Till:31/12/2015</t>
  </si>
  <si>
    <t>I100000263 | 7666777613 Valid Till:31/10/2010</t>
  </si>
  <si>
    <t>I100000226 | K T PANDIT Valid Till:31/12/2015</t>
  </si>
  <si>
    <t>I100000264 | 7666777614 Valid Till:31/10/2010</t>
  </si>
  <si>
    <t>I100000602 | KARAN KUMBHAR Valid Till:25/11/2019</t>
  </si>
  <si>
    <t>I100000265 | 7666777615 Valid Till:31/10/2010</t>
  </si>
  <si>
    <t>I100001232 | KEVIN LOBO Valid Till:31/12/2032</t>
  </si>
  <si>
    <t>I100000266 | 7666777616 Valid Till:31/10/2010</t>
  </si>
  <si>
    <t>I100001225 | KIRAN SAWANT Valid Till:31/12/2026</t>
  </si>
  <si>
    <t>I100000267 | 7666777617 Valid Till:31/10/2010</t>
  </si>
  <si>
    <t>I100000480 | Kirti Nagda Valid Till:31/12/2015</t>
  </si>
  <si>
    <t>I100000268 | 7666777618 Valid Till:31/10/2010</t>
  </si>
  <si>
    <t>I100000650 | KISAN GALVE Valid Till:31/12/2017</t>
  </si>
  <si>
    <t>I100000269 | 7666777619 Valid Till:31/10/2010</t>
  </si>
  <si>
    <t>I100000670 | KONDIBHAU D. GADGE Valid Till:31/12/2020</t>
  </si>
  <si>
    <t>I100000270 | 7666777620 Valid Till:31/10/2010</t>
  </si>
  <si>
    <t>I100000652 | KRISHNA SHINDE Valid Till:31/12/2010</t>
  </si>
  <si>
    <t>I100000376 | 7738364005 Valid Till:31/12/2015</t>
  </si>
  <si>
    <t>I100000491 | Kuldeep Santre Valid Till:31/12/2013</t>
  </si>
  <si>
    <t>I100000377 | 7738364006 Valid Till:31/12/2015</t>
  </si>
  <si>
    <t>I100000067 | L P POOJARY Valid Till:31/12/2015</t>
  </si>
  <si>
    <t>I100000488 | 8652666409 Valid Till:31/12/2015</t>
  </si>
  <si>
    <t>I100000222 | L S TALEKAR Valid Till:31/12/2015</t>
  </si>
  <si>
    <t>I100000482 | 8689874555 Valid Till:31/12/2015</t>
  </si>
  <si>
    <t>I100001256 | Laxman Bhoir Valid Till:31/03/2030</t>
  </si>
  <si>
    <t>I100000680 | 8879755250 Valid Till:31/12/2020</t>
  </si>
  <si>
    <t>I100000608 | Leon Thomas Valid Till:23/01/2019</t>
  </si>
  <si>
    <t>I100000683 | 8879755251 Valid Till:31/12/2020</t>
  </si>
  <si>
    <t>I100000148 | M B DHURIA Valid Till:31/12/2015</t>
  </si>
  <si>
    <t>I100000682 | 8879755252 Valid Till:31/12/2020</t>
  </si>
  <si>
    <t>I100000218 | M M REDKAR Valid Till:31/12/2015</t>
  </si>
  <si>
    <t>I100000679 | 8879755253 Valid Till:31/12/2020</t>
  </si>
  <si>
    <t>I100000232 | M Y GADADE Valid Till:31/12/2014</t>
  </si>
  <si>
    <t>I100000681 | 8879755254 Valid Till:31/12/2020</t>
  </si>
  <si>
    <t>I100000954 | MACHINDRA KHEDEKAR Valid Till:31/12/2026</t>
  </si>
  <si>
    <t>I100000678 | 8879755256 Valid Till:31/12/2020</t>
  </si>
  <si>
    <t>I100000097 | Manohar Bendkake Valid Till:31/12/2015</t>
  </si>
  <si>
    <t>I100000382 | 8879992001 Valid Till:31/12/2015</t>
  </si>
  <si>
    <t>I100000153 | MANOHAR KAMTHE Valid Till:31/12/2015</t>
  </si>
  <si>
    <t>I100000372 | 8879992002 Valid Till:31/12/2015</t>
  </si>
  <si>
    <t>I100000666 | MANOJ KOLI Valid Till:31/12/2020</t>
  </si>
  <si>
    <t>I100000373 | 8879992003 Valid Till:31/12/2015</t>
  </si>
  <si>
    <t>I100000068 | MANOJ MENON Valid Till:31/12/2015</t>
  </si>
  <si>
    <t>I100000374 | 8879992004 Valid Till:31/12/2015</t>
  </si>
  <si>
    <t>I100000673 | MARUTI CHOPADE Valid Till:31/12/2020</t>
  </si>
  <si>
    <t>I100000375 | 8879992005 Valid Till:31/12/2015</t>
  </si>
  <si>
    <t>I100000690 | MEGHNA SUDAKARAN Valid Till:20/01/2022</t>
  </si>
  <si>
    <t>I100000378 | 8879992006 Valid Till:31/12/2015</t>
  </si>
  <si>
    <t>I100000235 | MERAJ SHAIKH Valid Till:31/12/2015</t>
  </si>
  <si>
    <t>I100000561 | 8879992007 Valid Till:31/12/2015</t>
  </si>
  <si>
    <t>I100000622 | MOHAN GORAV Valid Till:15/04/2020</t>
  </si>
  <si>
    <t>I100000379 | 8879992008 Valid Till:31/12/2015</t>
  </si>
  <si>
    <t>I100000970 | NACHI PATEL Valid Till:31/12/2026</t>
  </si>
  <si>
    <t>I100000380 | 8879992009 Valid Till:31/12/2015</t>
  </si>
  <si>
    <t>I100001224 | NAKUL TANNA Valid Till:31/12/2032</t>
  </si>
  <si>
    <t>I100000381 | 8879992010 Valid Till:31/12/2015</t>
  </si>
  <si>
    <t>I100001146 | NILESH BHONDKAR Valid Till:31/12/2026</t>
  </si>
  <si>
    <t>I100000416 | 8879992011 Valid Till:31/12/2015</t>
  </si>
  <si>
    <t>I100000951 | NILESH NAIK Valid Till:31/12/2026</t>
  </si>
  <si>
    <t>I100000383 | 8879992012 Valid Till:31/12/2015</t>
  </si>
  <si>
    <t>I100000788 | NILIMA LIMBUKAR Valid Till:31/12/2026</t>
  </si>
  <si>
    <t>I100000384 | 8879992013 Valid Till:31/12/2015</t>
  </si>
  <si>
    <t>I100001068 | NISHANT THAKUR Valid Till:31/10/2026</t>
  </si>
  <si>
    <t>I100000385 | 8879992014 Valid Till:31/12/2015</t>
  </si>
  <si>
    <t>I100001021 | OMKAR KANERI Valid Till:31/07/2026</t>
  </si>
  <si>
    <t>I100000386 | 8879992015 Valid Till:31/12/2015</t>
  </si>
  <si>
    <t>I100000964 | OMKAR SANE Valid Till:31/12/2026</t>
  </si>
  <si>
    <t>I100000387 | 8879992016 Valid Till:31/12/2015</t>
  </si>
  <si>
    <t>I100001263 | P BABU Valid Till:31/03/2030</t>
  </si>
  <si>
    <t>I100000388 | 8879992017 Valid Till:31/12/2015</t>
  </si>
  <si>
    <t>I100000093 | P S KANK Valid Till:31/12/2015</t>
  </si>
  <si>
    <t>I100000389 | 8879992018 Valid Till:31/12/2015</t>
  </si>
  <si>
    <t>I100000069 | P S SHRINGARE Valid Till:31/12/2015</t>
  </si>
  <si>
    <t>I100000390 | 8879992019 Valid Till:31/12/2015</t>
  </si>
  <si>
    <t>I100000220 | P S TALEKAR Valid Till:31/12/2015</t>
  </si>
  <si>
    <t>I100000391 | 8879992020 Valid Till:31/12/2015</t>
  </si>
  <si>
    <t>I100000628 | PAL MH-04-GJ-6414 Valid Till:11/06/2021</t>
  </si>
  <si>
    <t>I100000505 | 8879992021 Valid Till:31/03/2015</t>
  </si>
  <si>
    <t>I100000145 | PANDARI PAWAR Valid Till:31/12/2015</t>
  </si>
  <si>
    <t>I100000363 | 8879992022 Valid Till:31/12/2015</t>
  </si>
  <si>
    <t>I100000476 | PHILLIP GEORGE CHANDRAN Valid Till:27/09/2015</t>
  </si>
  <si>
    <t>I100000126 | 8879992023 Valid Till:31/12/2012</t>
  </si>
  <si>
    <t>I100001247 | PRANAV PATEL Valid Till:31/12/2036</t>
  </si>
  <si>
    <t>I100000127 | 8879992024 Valid Till:31/12/2012</t>
  </si>
  <si>
    <t>I100000625 | PRASAD HANDA Valid Till:31/12/2015</t>
  </si>
  <si>
    <t>I100000128 | 8879992025 Valid Till:31/12/2012</t>
  </si>
  <si>
    <t>I100000950 | PRASHANT GUNJAL Valid Till:31/12/2026</t>
  </si>
  <si>
    <t>I100000415 | 8879992026 Valid Till:15/10/2014</t>
  </si>
  <si>
    <t>I100000459 | PRATAP SALADA Valid Till:31/12/2015</t>
  </si>
  <si>
    <t>I100000424 | 8879992027 Valid Till:31/12/2015</t>
  </si>
  <si>
    <t>I100001252 | PRAVIN SADANAND GHARAT Valid Till:31/03/2030</t>
  </si>
  <si>
    <t>I100000483 | 8879992028 Valid Till:31/12/2015</t>
  </si>
  <si>
    <t>I100000243 | PRAVIN YADAV Valid Till:31/12/2015</t>
  </si>
  <si>
    <t>I100000369 | 8879992029 Valid Till:12/08/2014</t>
  </si>
  <si>
    <t>I100001036 | PRIYANKA MODAK Valid Till:31/08/2026</t>
  </si>
  <si>
    <t>I100000504 | 8879992030 Valid Till:31/03/2015</t>
  </si>
  <si>
    <t>I100000187 | R D PAL Valid Till:31/12/2015</t>
  </si>
  <si>
    <t>I100000503 | 8879992031 Valid Till:31/03/2015</t>
  </si>
  <si>
    <t>I100000238 | R D PATIL Valid Till:31/12/2015</t>
  </si>
  <si>
    <t>I100000199 | 8879992032 Valid Till:31/12/2012</t>
  </si>
  <si>
    <t>I100001245 | Radhika Venkataramanan Valid Till:31/12/2030</t>
  </si>
  <si>
    <t>I100000367 | 8879992033 Valid Till:12/08/2014</t>
  </si>
  <si>
    <t>I100000675 | RAHUL SAWANT Valid Till:31/12/2020</t>
  </si>
  <si>
    <t>I100000201 | 8879992034 Valid Till:31/12/2012</t>
  </si>
  <si>
    <t>I100000555 | Rajendra Jadhav Valid Till:31/12/2015</t>
  </si>
  <si>
    <t>I100000370 | 8879992035 Valid Till:12/08/2015</t>
  </si>
  <si>
    <t>I100001253 | RAJESH KAVI Valid Till:31/03/2030</t>
  </si>
  <si>
    <t>I100000564 | 8879992036 Valid Till:31/12/2015</t>
  </si>
  <si>
    <t>I100000467 | Rajesh Morye Valid Till:31/12/2015</t>
  </si>
  <si>
    <t>I100000228 | 8879992037 Valid Till:31/12/2012</t>
  </si>
  <si>
    <t>I100000470 | Rajiv Chavan Valid Till:31/12/2015</t>
  </si>
  <si>
    <t>I100000195 | 8879992038 Valid Till:31/12/2015</t>
  </si>
  <si>
    <t>I100000241 | RAJU KAMTHE Valid Till:31/12/2015</t>
  </si>
  <si>
    <t>I100000563 | 8879992039 Valid Till:31/12/2015</t>
  </si>
  <si>
    <t>I100000464 | RAMCHANDRA PARAB Valid Till:31/12/2015</t>
  </si>
  <si>
    <t>I100000562 | 8879992040 Valid Till:31/12/2015</t>
  </si>
  <si>
    <t>I100000623 | RAMDAS SHELAR Valid Till:31/12/2015</t>
  </si>
  <si>
    <t>I100001006 | 8939463666 Valid Till:31/12/2026</t>
  </si>
  <si>
    <t>I100000676 | RAVI KARKHELE Valid Till:31/12/2020</t>
  </si>
  <si>
    <t>I100000486 | 9321145840 Valid Till:31/12/2015</t>
  </si>
  <si>
    <t>I100001020 | REKHA NAIDU Valid Till:31/07/2026</t>
  </si>
  <si>
    <t>I100000487 | 9321816426 Valid Till:31/12/2015</t>
  </si>
  <si>
    <t>I100000996 | ROSHAN PATEKAR Valid Till:31/12/2026</t>
  </si>
  <si>
    <t>I100000191 | 9322864840 - ARJUN JHA Valid Till:31/12/2012</t>
  </si>
  <si>
    <t>I100000242 | RUPESH GHADI Valid Till:31/12/2015</t>
  </si>
  <si>
    <t>I100000057 | 9322868806 - AIR PORT RELIANCE Valid Till:31/12/2012</t>
  </si>
  <si>
    <t>I100000168 | S A MIRJANKAR Valid Till:23/12/2014</t>
  </si>
  <si>
    <t>I100000058 | 9323286422- DRONAGIRI RELIANCE Valid Till:31/12/2012</t>
  </si>
  <si>
    <t>I100000070 | S B KHATATE Valid Till:31/12/2015</t>
  </si>
  <si>
    <t>I100000189 | 9324032448 - AIRPORT OFFICE Valid Till:31/12/2012</t>
  </si>
  <si>
    <t>I100000094 | S B MUNDE Valid Till:31/12/2015</t>
  </si>
  <si>
    <t>I100000082 | 9324054086 Valid Till:31/12/2012</t>
  </si>
  <si>
    <t>I100000071 | S L KAWADE Valid Till:31/12/2015</t>
  </si>
  <si>
    <t>I100000083 | 9324054105 - SACHIN RELIANCE DATA CARD Valid Till:31/12/2012</t>
  </si>
  <si>
    <t>I100000072 | S P MAGAM Valid Till:31/12/2015</t>
  </si>
  <si>
    <t>I100000230 | 9324054106 Valid Till:31/12/2012</t>
  </si>
  <si>
    <t>I100000221 | S S SAWANT Valid Till:31/12/2015</t>
  </si>
  <si>
    <t>I100000084 | 9324055017 - RELIANCE DATA CARD Valid Till:31/12/2012</t>
  </si>
  <si>
    <t>I100000095 | S S SUMBRE Valid Till:31/12/2015</t>
  </si>
  <si>
    <t>I100000229 | 9324136152 - DATA CARD Valid Till:31/12/2012</t>
  </si>
  <si>
    <t>I100000073 | S T Z WARE Valid Till:31/12/2015</t>
  </si>
  <si>
    <t>I100000085 | 9324136512 - RELIANCE DATA CARD Valid Till:31/12/2010</t>
  </si>
  <si>
    <t>I100000640 | SACHIN JADHAV Valid Till:31/12/2025</t>
  </si>
  <si>
    <t>I100000211 | 9324228805 - SANTOSH TAKKE Valid Till:31/12/2012</t>
  </si>
  <si>
    <t>I100000791 | SACHIN LAD Valid Till:31/12/2026</t>
  </si>
  <si>
    <t>I100000190 | 9324302174 - KASHYAP Valid Till:31/12/2012</t>
  </si>
  <si>
    <t>I100000664 | SACHIN SHARMA Valid Till:31/12/2020</t>
  </si>
  <si>
    <t>I100000086 | 9324447772 Valid Till:31/12/2015</t>
  </si>
  <si>
    <t>I100001257 | SAMIKSHA KOKATE Valid Till:31/12/2036</t>
  </si>
  <si>
    <t>I100000481 | 9702659777 Valid Till:31/12/2015</t>
  </si>
  <si>
    <t>I100000569 | Samson Nadar Valid Till:31/12/2015</t>
  </si>
  <si>
    <t>I100000098 | 9819494823 - S S SUMBRE Valid Till:31/12/2012</t>
  </si>
  <si>
    <t>I100000621 | SANDEEP CHASKAR Valid Till:28/03/2019</t>
  </si>
  <si>
    <t>I100000193 | 9820025678 - JMM Valid Till:31/12/2012</t>
  </si>
  <si>
    <t>I100001274 | SANDEEP JARIWALA Valid Till:31/03/2030</t>
  </si>
  <si>
    <t>I100000174 | 9821042801 - NIRAV Valid Till:31/12/2012</t>
  </si>
  <si>
    <t>I100000955 | SANDEEP KALANTRE Valid Till:31/12/2026</t>
  </si>
  <si>
    <t>I100000176 | 9821072887 - JMM Valid Till:31/12/2012</t>
  </si>
  <si>
    <t>I100000150 | SANDEEP KARPE Valid Till:31/12/2015</t>
  </si>
  <si>
    <t>I100000177 | 9821117658 - UMESH Valid Till:31/12/2012</t>
  </si>
  <si>
    <t>I100000553 | SANDESH MANJREKAR Valid Till:31/12/2015</t>
  </si>
  <si>
    <t>I100000100 | 9821129620 - SUNIL SONAWANE Valid Till:31/12/2012</t>
  </si>
  <si>
    <t>I100001234 | SANDHYA SURVE Valid Till:31/12/2027</t>
  </si>
  <si>
    <t>I100000237 | 9821152106 - KASHYAP Valid Till:31/12/2012</t>
  </si>
  <si>
    <t>I100000910 | SANDIP GOLATKAR Valid Till:31/12/2026</t>
  </si>
  <si>
    <t>I100000192 | 9821332446 - JOLLY Valid Till:31/12/2012</t>
  </si>
  <si>
    <t>I100001035 | SANGITA DESHPANDE Valid Till:31/08/2026</t>
  </si>
  <si>
    <t>I100000178 | 9821711284 - JMM Valid Till:31/12/2012</t>
  </si>
  <si>
    <t>I100001028 | SANIKA PAGARE Valid Till:31/07/2026</t>
  </si>
  <si>
    <t>I100000216 | 9821916703 - SYLVEEA Valid Till:31/12/2012</t>
  </si>
  <si>
    <t>I100000946 | SANJAY BENDRE Valid Till:31/12/2026</t>
  </si>
  <si>
    <t>I100000175 | 9821927510 - RAJESH Valid Till:31/12/2012</t>
  </si>
  <si>
    <t>I100001092 | SANJAY GHANEKAR Valid Till:31/12/2026</t>
  </si>
  <si>
    <t>I100000011 | 9821974109 - Ashok Sakpal Valid Till:31/12/2012</t>
  </si>
  <si>
    <t>I100000042 | SANTOSH AUTI Valid Till:31/12/2015</t>
  </si>
  <si>
    <t>I100000115 | 9833259412 - PREMAL Valid Till:31/12/2010</t>
  </si>
  <si>
    <t>I100000485 | Santosh Bomble Valid Till:31/03/2015</t>
  </si>
  <si>
    <t>I100000203 | 9833352705 - DARSHAN Valid Till:31/12/2012</t>
  </si>
  <si>
    <t>I100000146 | SANTOSH PARAB Valid Till:31/12/2015</t>
  </si>
  <si>
    <t>I100000202 | 9833352706 - IMPORT B/L DEPT Valid Till:31/12/2012</t>
  </si>
  <si>
    <t>I100000152 | SANTOSH SAWANT Valid Till:31/12/2015</t>
  </si>
  <si>
    <t>I100000200 | 9833352708 - ARJUN Valid Till:31/12/2012</t>
  </si>
  <si>
    <t>I100000207 | SANTOSH TAKKE Valid Till:31/12/2015</t>
  </si>
  <si>
    <t>I100000198 | 9833352710 - IMPORT B/L DEPT Valid Till:31/12/2012</t>
  </si>
  <si>
    <t>I100001270 | SARTHAK NALE Valid Till:31/03/2031</t>
  </si>
  <si>
    <t>I100000197 | 9833352711 - GURU Valid Till:31/12/2012</t>
  </si>
  <si>
    <t>I100000987 | SAYLI SHINDE Valid Till:31/12/2026</t>
  </si>
  <si>
    <t>I100000194 | 9833352714 - SANTOSH SAWANT Valid Till:31/12/2012</t>
  </si>
  <si>
    <t>I100000807 | SHASHANK RABADHIA Valid Till:31/03/2026</t>
  </si>
  <si>
    <t>I100000123 | 9870080360 - SURENDRA Valid Till:31/12/2012</t>
  </si>
  <si>
    <t>I100001050 | SHASHI RAM Valid Till:31/08/2026</t>
  </si>
  <si>
    <t>I100000121 | 9870080361 - IMPORT DEPARTMENT Valid Till:31/12/2012</t>
  </si>
  <si>
    <t>I100000047 | SHIVAJI PAWADE Valid Till:31/12/2015</t>
  </si>
  <si>
    <t>I100000125 | 9870080362 - IMPORT DEPARTMENT Valid Till:31/12/2012</t>
  </si>
  <si>
    <t>I100001255 | SHRADHA GOPALE Valid Till:31/12/2036</t>
  </si>
  <si>
    <t>I100000124 | 9870080363 - JMM Valid Till:31/12/2012</t>
  </si>
  <si>
    <t>I100000669 | SHRENIK SHAH Valid Till:31/12/2020</t>
  </si>
  <si>
    <t>I100000129 | 9870080367 - BABUSETH Valid Till:31/12/2012</t>
  </si>
  <si>
    <t>I100001239 | SHRI RAJ GHADI Valid Till:31/12/2030</t>
  </si>
  <si>
    <t>I100000130 | 9870080368 - MAGAM Valid Till:31/12/2012</t>
  </si>
  <si>
    <t>I100000188 | SHRIKANT NAVLE Valid Till:31/12/2015</t>
  </si>
  <si>
    <t>I100000122 | 9870080369 - VASANT JAGTAP Valid Till:31/12/2012</t>
  </si>
  <si>
    <t>I100001053 | SHUBHAM PADVEKAR Valid Till:31/08/2026</t>
  </si>
  <si>
    <t>I100000173 | 9892206139 - JMM Valid Till:31/12/2012</t>
  </si>
  <si>
    <t>I100001027 | SIDDHESH AGRE Valid Till:31/07/2026</t>
  </si>
  <si>
    <t>I100000112 | 9930129441 - SANDESH Valid Till:31/12/2012</t>
  </si>
  <si>
    <t>I100000144 | SOPAN TEMKAR Valid Till:31/12/2015</t>
  </si>
  <si>
    <t>I100000111 | 9930129442 - PRATAP Valid Till:31/12/2012</t>
  </si>
  <si>
    <t>I100000056 | STAFF BUS Valid Till:31/12/2015</t>
  </si>
  <si>
    <t>I100000106 | 9930129443 - PRATIK Valid Till:31/12/2012</t>
  </si>
  <si>
    <t>I100000971 | SUBODH RAUT Valid Till:31/12/2026</t>
  </si>
  <si>
    <t>I100000116 | 9930129444 - GADADE Valid Till:31/12/2012</t>
  </si>
  <si>
    <t>I100001038 | SUDARSHAN SHETTY Valid Till:31/08/2026</t>
  </si>
  <si>
    <t>I100000113 | 9930129445 - BHAVIN Valid Till:31/12/2012</t>
  </si>
  <si>
    <t>I100000147 | SUDESH COUGHLE Valid Till:31/12/2015</t>
  </si>
  <si>
    <t>I100000107 | 9930129446 - ANIL THAKER Valid Till:31/12/2012</t>
  </si>
  <si>
    <t>I100000157 | SUDESH KOCHARE Valid Till:21/12/2015</t>
  </si>
  <si>
    <t>I100000110 | 9930129447 - SUDESH Valid Till:31/12/2012</t>
  </si>
  <si>
    <t>I100001241 | SUJIT KUMAR SAHOO Valid Till:31/03/2030</t>
  </si>
  <si>
    <t>I100000109 | 9930129448 - D C PARMAR Valid Till:31/12/2012</t>
  </si>
  <si>
    <t>I100000952 | SUMIT MAJGAONKAR Valid Till:31/12/2026</t>
  </si>
  <si>
    <t>I100000114 | 9930129449 - NIKITA Valid Till:31/12/2010</t>
  </si>
  <si>
    <t>I100001248 | SURENDRA SINGH GOHIL Valid Till:31/12/2036</t>
  </si>
  <si>
    <t>I100000108 | 9930129450 - NIKHILBHAI Valid Till:31/12/2012</t>
  </si>
  <si>
    <t>I100000686 | SWAPNIL L. BORADE Valid Till:31/12/2020</t>
  </si>
  <si>
    <t>I100000227 | 9969252355 - BABAJI Valid Till:31/12/2012</t>
  </si>
  <si>
    <t>I100000626 | SWATI BIDWAI Valid Till:31/12/2015</t>
  </si>
  <si>
    <t>I100000368 | A. A. MAPARA Valid Till:12/08/2014</t>
  </si>
  <si>
    <t>I100000231 | SYLVEEA Valid Till:31/12/2015</t>
  </si>
  <si>
    <t>I100000484 | Bipin Jani Valid Till:31/12/2015</t>
  </si>
  <si>
    <t>I100000234 | T M BANDIWDEKAR Valid Till:31/12/2015</t>
  </si>
  <si>
    <t>I100000364 | J D Patil Valid Till:31/12/2015</t>
  </si>
  <si>
    <t>I100000074 | TANAJI GADAGE Valid Till:31/12/2015</t>
  </si>
  <si>
    <t>I100000414 | K. J. SHAH Valid Till:15/10/2014</t>
  </si>
  <si>
    <t>I100001251 | TRIVENDRA THAKUR Valid Till:31/03/2030</t>
  </si>
  <si>
    <t>I100000501 | Kuldeep Santre Valid Till:31/12/2015</t>
  </si>
  <si>
    <t>I100000096 | V V BHAYDE Valid Till:31/12/2015</t>
  </si>
  <si>
    <t>I100000196 | PRAVIN Valid Till:31/12/2012</t>
  </si>
  <si>
    <t>I100001229 | VAIBHAV CHAVAN Valid Till:31/12/2032</t>
  </si>
  <si>
    <t>I100000500 | Shrikant Dixit Valid Till:31/12/2015</t>
  </si>
  <si>
    <t>I100001266 | VAISHNAVI WALUNJ Valid Till:31/12/2030</t>
  </si>
  <si>
    <t>I100000362 | Shrikant Navle Valid Till:31/12/2012</t>
  </si>
  <si>
    <t>I100000420 | VASANT JAGTAP Valid Till:31/03/2016</t>
  </si>
  <si>
    <t>I100000558 | Vichare Valid Till:31/12/2015</t>
  </si>
  <si>
    <t>I100000957 | VEDPRAKASH CHAURASIYA Valid Till:31/12/2026</t>
  </si>
  <si>
    <t>I100000972 | VENKAT IYER (SOLIDUS) Valid Till:31/12/2026</t>
  </si>
  <si>
    <t>I100001242 | VENKATESH NAMBI Valid Till:31/07/2029</t>
  </si>
  <si>
    <t>I100000556 | Vidyadhar Harne Valid Till:31/12/2015</t>
  </si>
  <si>
    <t>I100000624 | VIJAY FUNDEKAR Valid Till:31/12/2015</t>
  </si>
  <si>
    <t>I100000149 | VIJAY KEER Valid Till:31/12/2015</t>
  </si>
  <si>
    <t>I100000853 | VIKRAM SINGH Valid Till:31/12/2026</t>
  </si>
  <si>
    <t>I100001001 | VILAS LAD Valid Till:31/12/2026</t>
  </si>
  <si>
    <t>I100000620 | Vilas Pansare Valid Till:28/01/2023</t>
  </si>
  <si>
    <t>I100000619 | Vinod Dabde Valid Till:03/03/2021</t>
  </si>
  <si>
    <t>I100001154 | VIRENDRA SAWANT Valid Till:31/12/2026</t>
  </si>
  <si>
    <t>I100000246 | VIRENDRA SINGH Valid Till:31/12/2015</t>
  </si>
  <si>
    <t>I100000817 | VISHNU KOLI Valid Till:31/03/2026</t>
  </si>
  <si>
    <t>I100000689 | VIVEK CHINDARKAR Valid Till:31/12/2020</t>
  </si>
  <si>
    <t>I100001100 | YOGESH KRISHNA DASURI Valid Till:31/12/2026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</si>
</sst>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0"/>
      <color rgb="FFFFFFFF"/>
      <name val="Calibri"/>
      <family val="2"/>
    </font>
    <font>
      <sz val="10"/>
      <color rgb="FF555555"/>
      <name val="Calibri"/>
      <family val="2"/>
    </font>
    <font>
      <b/>
      <sz val="11"/>
      <name val="Calibri"/>
      <family val="2"/>
    </font>
    <font>
      <b/>
      <sz val="12"/>
      <name val="Calibri"/>
      <family val="2"/>
    </font>
    <font>
      <b/>
      <sz val="11"/>
      <color rgb="FF1F4E78"/>
      <name val="Calibri"/>
      <family val="2"/>
    </font>
    <font>
      <i/>
      <sz val="11"/>
      <color rgb="FF9C0006"/>
      <name val="Calibri"/>
      <family val="2"/>
    </font>
    <font>
      <b/>
      <sz val="14"/>
      <name val="Calibri"/>
      <family val="2"/>
    </font>
    <font>
      <sz val="10"/>
      <name val="Calibri"/>
      <family val="2"/>
    </font>
    <font>
      <b/>
      <sz val="9"/>
      <color rgb="FFFFFFFF"/>
      <name val="Calibri"/>
      <family val="2"/>
    </font>
    <font>
      <sz val="9"/>
      <color rgb="FF000000"/>
      <name val="Calibri"/>
      <family val="2"/>
    </font>
    <font>
      <sz val="9"/>
      <color rgb="FF555555"/>
      <name val="Calibri"/>
      <family val="2"/>
    </font>
  </fonts>
  <fills count="9">
    <fill>
      <patternFill patternType="none"/>
    </fill>
    <fill>
      <patternFill patternType="gray125"/>
    </fill>
    <fill>
      <patternFill patternType="solid">
        <fgColor rgb="FFC00000"/>
      </patternFill>
    </fill>
    <fill>
      <patternFill patternType="solid">
        <fgColor rgb="FF808080"/>
      </patternFill>
    </fill>
    <fill>
      <patternFill patternType="solid">
        <fgColor rgb="FF1F4E78"/>
      </patternFill>
    </fill>
    <fill>
      <patternFill patternType="solid">
        <fgColor rgb="FFF2F2F2"/>
      </patternFill>
    </fill>
    <fill>
      <patternFill patternType="solid">
        <fgColor rgb="FFFFF2CC"/>
      </patternFill>
    </fill>
    <fill>
      <patternFill patternType="solid">
        <fgColor rgb="FFBF8F00"/>
      </patternFill>
    </fill>
    <fill>
      <patternFill patternType="solid">
        <fgColor rgb="FFDDEBF7"/>
      </patternFill>
    </fill>
  </fills>
  <borders count="3">
    <border>
      <left/>
      <right/>
      <top/>
      <bottom/>
      <diagonal/>
    </border>
    <border>
      <left style="thin">
        <color rgb="FFB0B0B0"/>
      </left>
      <right style="thin">
        <color rgb="FFB0B0B0"/>
      </right>
      <top style="thin">
        <color rgb="FFB0B0B0"/>
      </top>
      <bottom style="thin">
        <color rgb="FFB0B0B0"/>
      </bottom>
      <diagonal/>
    </border>
    <border>
      <left style="medium">
        <color rgb="FFBF8F00"/>
      </left>
      <right style="medium">
        <color rgb="FFBF8F00"/>
      </right>
      <top style="medium">
        <color rgb="FFBF8F00"/>
      </top>
      <bottom style="medium">
        <color rgb="FFBF8F00"/>
      </bottom>
      <diagonal/>
    </border>
  </borders>
  <cellStyleXfs count="1">
    <xf numFmtId="0" fontId="0" fillId="0" borderId="0"/>
  </cellStyleXfs>
  <cellXfs count="3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1" xfId="0" applyBorder="1" applyProtection="1">
      <protection locked="0"/>
    </xf>
    <xf numFmtId="0" fontId="2" fillId="5" borderId="1" xfId="0" applyFont="1" applyFill="1" applyBorder="1" applyAlignment="1">
      <alignment horizontal="center"/>
    </xf>
    <xf numFmtId="4" fontId="0" fillId="0" borderId="1" xfId="0" applyNumberFormat="1" applyBorder="1" applyProtection="1">
      <protection locked="0"/>
    </xf>
    <xf numFmtId="0" fontId="3" fillId="0" borderId="0" xfId="0" applyFont="1"/>
    <xf numFmtId="4" fontId="3" fillId="0" borderId="0" xfId="0" applyNumberFormat="1" applyFont="1"/>
    <xf numFmtId="0" fontId="7" fillId="0" borderId="0" xfId="0" applyFont="1" applyAlignment="1">
      <alignment vertical="top" wrapText="1"/>
    </xf>
    <xf numFmtId="0" fontId="4" fillId="8" borderId="0" xfId="0" applyFont="1" applyFill="1" applyAlignment="1">
      <alignment vertical="top" wrapText="1"/>
    </xf>
    <xf numFmtId="0" fontId="8" fillId="0" borderId="0" xfId="0" applyFont="1" applyAlignment="1">
      <alignment vertical="top" wrapText="1"/>
    </xf>
    <xf numFmtId="0" fontId="9" fillId="4" borderId="0" xfId="0" applyFont="1" applyFill="1" applyAlignment="1">
      <alignment horizontal="center"/>
    </xf>
    <xf numFmtId="0" fontId="9" fillId="3" borderId="0" xfId="0" applyFont="1" applyFill="1" applyAlignment="1">
      <alignment horizontal="center"/>
    </xf>
    <xf numFmtId="0" fontId="10" fillId="0" borderId="0" xfId="0" applyFont="1"/>
    <xf numFmtId="0" fontId="11" fillId="5" borderId="0" xfId="0" applyFont="1" applyFill="1" applyAlignment="1">
      <alignment horizontal="center"/>
    </xf>
    <xf numFmtId="4" fontId="10" fillId="0" borderId="0" xfId="0" applyNumberFormat="1" applyFont="1"/>
    <xf numFmtId="0" fontId="4" fillId="0" borderId="0" xfId="0" applyFont="1" applyAlignment="1">
      <alignment horizontal="right" vertical="center"/>
    </xf>
    <xf numFmtId="0" fontId="4" fillId="6" borderId="2" xfId="0" applyFont="1" applyFill="1" applyBorder="1" applyAlignment="1" applyProtection="1">
      <alignment horizontal="center" vertical="center"/>
      <protection locked="0"/>
    </xf>
    <xf numFmtId="0" fontId="1" fillId="4" borderId="1" xfId="0" applyFont="1" applyFill="1" applyBorder="1" applyAlignment="1">
      <alignment horizontal="center"/>
    </xf>
    <xf numFmtId="0" fontId="1" fillId="7" borderId="1" xfId="0" applyFont="1" applyFill="1" applyBorder="1" applyAlignment="1">
      <alignment horizontal="center"/>
    </xf>
    <xf numFmtId="0" fontId="0" fillId="0" borderId="1" xfId="0" applyBorder="1" applyAlignment="1">
      <alignment horizontal="center"/>
    </xf>
    <xf numFmtId="0" fontId="0" fillId="0" borderId="1" xfId="0" applyBorder="1"/>
    <xf numFmtId="0" fontId="0" fillId="6" borderId="1" xfId="0" applyFill="1" applyBorder="1" applyAlignment="1">
      <alignment horizontal="center"/>
    </xf>
    <xf numFmtId="0" fontId="0" fillId="6" borderId="1" xfId="0" applyFill="1" applyBorder="1"/>
    <xf numFmtId="0" fontId="6" fillId="0" borderId="0" xfId="0" applyFont="1"/>
    <xf numFmtId="0" fontId="3" fillId="0" borderId="0" xfId="0" applyFont="1"/>
    <xf numFmtId="0" fontId="0" fillId="0" borderId="0" xfId="0"/>
    <xf numFmtId="0" fontId="8" fillId="0" borderId="0" xfId="0" applyFont="1" applyAlignment="1">
      <alignment vertical="top" wrapText="1"/>
    </xf>
    <xf numFmtId="0" fontId="4" fillId="8" borderId="0" xfId="0" applyFont="1" applyFill="1" applyAlignment="1">
      <alignment vertical="top" wrapText="1"/>
    </xf>
    <xf numFmtId="0" fontId="5" fillId="0" borderId="0" xfId="0" applyFont="1" applyAlignment="1">
      <alignment vertical="center"/>
    </xf>
  </cellXfs>
  <cellStyles count="1">
    <cellStyle name="Normal" xfId="0" builtinId="0"/>
  </cellStyles>
  <dxfs count="2">
    <dxf>
      <font>
        <b/>
        <color rgb="FF9C0006"/>
      </font>
      <fill>
        <patternFill patternType="solid">
          <fgColor rgb="FFFFC7CE"/>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2"/>
  <sheetViews>
    <sheetView tabSelected="1"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14" customWidth="1"/>
    <col min="3" max="4" width="15" customWidth="1"/>
    <col min="5" max="5" width="16" customWidth="1"/>
    <col min="6" max="7" width="18" customWidth="1"/>
    <col min="8" max="8" width="24" customWidth="1"/>
    <col min="9" max="9" width="26" customWidth="1"/>
    <col min="10" max="10" width="22" customWidth="1"/>
  </cols>
  <sheetData>
    <row r="1" spans="1:10" ht="30" customHeight="1" x14ac:dyDescent="0.25">
      <c r="A1" s="1" t="s">
        <v>0</v>
      </c>
      <c r="B1" s="2" t="s">
        <v>1</v>
      </c>
      <c r="C1" s="1" t="s">
        <v>2</v>
      </c>
      <c r="D1" s="1" t="s">
        <v>3</v>
      </c>
      <c r="E1" s="3" t="s">
        <v>4</v>
      </c>
      <c r="F1" s="3" t="s">
        <v>5</v>
      </c>
      <c r="G1" s="3" t="s">
        <v>6</v>
      </c>
      <c r="H1" s="3" t="s">
        <v>7</v>
      </c>
      <c r="I1" s="3" t="s">
        <v>8</v>
      </c>
      <c r="J1" s="3" t="s">
        <v>9</v>
      </c>
    </row>
    <row r="2" spans="1:10" x14ac:dyDescent="0.25">
      <c r="A2" s="4" t="s">
        <v>10</v>
      </c>
      <c r="B2" s="5" t="str">
        <f t="shared" ref="B2:B65" si="0">IF($A2="","",IFERROR(INDEX(AccountCode,MATCH($A2,AccountName,0)),IFERROR(INDEX(AccountCode,MATCH($A2,AccountCode,0)),"NOT FOUND")))</f>
        <v>G100920</v>
      </c>
      <c r="C2" s="6">
        <v>2815908.6</v>
      </c>
      <c r="D2" s="6"/>
      <c r="E2" s="4"/>
      <c r="F2" s="4"/>
      <c r="G2" s="4"/>
      <c r="H2" s="4"/>
      <c r="I2" s="4"/>
      <c r="J2" s="4"/>
    </row>
    <row r="3" spans="1:10" x14ac:dyDescent="0.25">
      <c r="A3" s="4" t="s">
        <v>11</v>
      </c>
      <c r="B3" s="5" t="str">
        <f t="shared" si="0"/>
        <v>G101606</v>
      </c>
      <c r="C3" s="6">
        <v>325265</v>
      </c>
      <c r="D3" s="6"/>
      <c r="E3" s="4"/>
      <c r="F3" s="4"/>
      <c r="G3" s="4"/>
      <c r="H3" s="4"/>
      <c r="I3" s="4"/>
      <c r="J3" s="4"/>
    </row>
    <row r="4" spans="1:10" x14ac:dyDescent="0.25">
      <c r="A4" s="4" t="s">
        <v>12</v>
      </c>
      <c r="B4" s="5" t="str">
        <f t="shared" si="0"/>
        <v>G101604</v>
      </c>
      <c r="C4" s="6">
        <v>7751532</v>
      </c>
      <c r="D4" s="6"/>
      <c r="E4" s="4"/>
      <c r="F4" s="4"/>
      <c r="G4" s="4"/>
      <c r="H4" s="4"/>
      <c r="I4" s="4"/>
      <c r="J4" s="4"/>
    </row>
    <row r="5" spans="1:10" x14ac:dyDescent="0.25">
      <c r="A5" s="4" t="s">
        <v>13</v>
      </c>
      <c r="B5" s="5" t="str">
        <f t="shared" si="0"/>
        <v>G101639</v>
      </c>
      <c r="C5" s="6">
        <v>48212.19</v>
      </c>
      <c r="D5" s="6"/>
      <c r="E5" s="4"/>
      <c r="F5" s="4"/>
      <c r="G5" s="4"/>
      <c r="H5" s="4"/>
      <c r="I5" s="4"/>
      <c r="J5" s="4"/>
    </row>
    <row r="6" spans="1:10" x14ac:dyDescent="0.25">
      <c r="A6" s="4" t="s">
        <v>14</v>
      </c>
      <c r="B6" s="5" t="str">
        <f t="shared" si="0"/>
        <v>G100243</v>
      </c>
      <c r="C6" s="6">
        <v>1883900</v>
      </c>
      <c r="D6" s="6"/>
      <c r="E6" s="4"/>
      <c r="F6" s="4"/>
      <c r="G6" s="4"/>
      <c r="H6" s="4"/>
      <c r="I6" s="4"/>
      <c r="J6" s="4"/>
    </row>
    <row r="7" spans="1:10" x14ac:dyDescent="0.25">
      <c r="A7" s="4" t="s">
        <v>15</v>
      </c>
      <c r="B7" s="5" t="str">
        <f t="shared" si="0"/>
        <v>G101607</v>
      </c>
      <c r="C7" s="6">
        <v>4750</v>
      </c>
      <c r="D7" s="6"/>
      <c r="E7" s="4"/>
      <c r="F7" s="4"/>
      <c r="G7" s="4"/>
      <c r="H7" s="4"/>
      <c r="I7" s="4"/>
      <c r="J7" s="4"/>
    </row>
    <row r="8" spans="1:10" x14ac:dyDescent="0.25">
      <c r="A8" s="4" t="s">
        <v>16</v>
      </c>
      <c r="B8" s="5" t="str">
        <f t="shared" si="0"/>
        <v>G101608</v>
      </c>
      <c r="C8" s="6">
        <v>2840151.6</v>
      </c>
      <c r="D8" s="6"/>
      <c r="E8" s="4"/>
      <c r="F8" s="4"/>
      <c r="G8" s="4"/>
      <c r="H8" s="4"/>
      <c r="I8" s="4"/>
      <c r="J8" s="4"/>
    </row>
    <row r="9" spans="1:10" x14ac:dyDescent="0.25">
      <c r="A9" s="4" t="s">
        <v>17</v>
      </c>
      <c r="B9" s="5" t="str">
        <f t="shared" si="0"/>
        <v>G101610</v>
      </c>
      <c r="C9" s="6">
        <v>9956961.5199999996</v>
      </c>
      <c r="D9" s="6"/>
      <c r="E9" s="4"/>
      <c r="F9" s="4"/>
      <c r="G9" s="4"/>
      <c r="H9" s="4"/>
      <c r="I9" s="4"/>
      <c r="J9" s="4"/>
    </row>
    <row r="10" spans="1:10" x14ac:dyDescent="0.25">
      <c r="A10" s="4" t="s">
        <v>18</v>
      </c>
      <c r="B10" s="5" t="str">
        <f t="shared" si="0"/>
        <v>G101611</v>
      </c>
      <c r="C10" s="6">
        <v>360275</v>
      </c>
      <c r="D10" s="6"/>
      <c r="E10" s="4"/>
      <c r="F10" s="4"/>
      <c r="G10" s="4"/>
      <c r="H10" s="4"/>
      <c r="I10" s="4"/>
      <c r="J10" s="4"/>
    </row>
    <row r="11" spans="1:10" x14ac:dyDescent="0.25">
      <c r="A11" s="4" t="s">
        <v>19</v>
      </c>
      <c r="B11" s="5" t="str">
        <f t="shared" si="0"/>
        <v>G101612</v>
      </c>
      <c r="C11" s="6">
        <v>1577149</v>
      </c>
      <c r="D11" s="6"/>
      <c r="E11" s="4"/>
      <c r="F11" s="4"/>
      <c r="G11" s="4"/>
      <c r="H11" s="4"/>
      <c r="I11" s="4"/>
      <c r="J11" s="4"/>
    </row>
    <row r="12" spans="1:10" x14ac:dyDescent="0.25">
      <c r="A12" s="4" t="s">
        <v>20</v>
      </c>
      <c r="B12" s="5" t="str">
        <f t="shared" si="0"/>
        <v>G101253</v>
      </c>
      <c r="C12" s="6">
        <v>64.5</v>
      </c>
      <c r="D12" s="6"/>
      <c r="E12" s="4"/>
      <c r="F12" s="4"/>
      <c r="G12" s="4"/>
      <c r="H12" s="4"/>
      <c r="I12" s="4"/>
      <c r="J12" s="4"/>
    </row>
    <row r="13" spans="1:10" x14ac:dyDescent="0.25">
      <c r="A13" s="4" t="s">
        <v>21</v>
      </c>
      <c r="B13" s="5" t="str">
        <f t="shared" si="0"/>
        <v>G101025</v>
      </c>
      <c r="C13" s="6"/>
      <c r="D13" s="6">
        <v>295571.40000000002</v>
      </c>
      <c r="E13" s="4"/>
      <c r="F13" s="4"/>
      <c r="G13" s="4"/>
      <c r="H13" s="4"/>
      <c r="I13" s="4"/>
      <c r="J13" s="4"/>
    </row>
    <row r="14" spans="1:10" x14ac:dyDescent="0.25">
      <c r="A14" s="4" t="s">
        <v>22</v>
      </c>
      <c r="B14" s="5" t="str">
        <f t="shared" si="0"/>
        <v>G101565</v>
      </c>
      <c r="C14" s="6"/>
      <c r="D14" s="6">
        <v>381395.05</v>
      </c>
      <c r="E14" s="4"/>
      <c r="F14" s="4"/>
      <c r="G14" s="4"/>
      <c r="H14" s="4"/>
      <c r="I14" s="4"/>
      <c r="J14" s="4"/>
    </row>
    <row r="15" spans="1:10" x14ac:dyDescent="0.25">
      <c r="A15" s="4" t="s">
        <v>23</v>
      </c>
      <c r="B15" s="5" t="str">
        <f t="shared" si="0"/>
        <v>G101651</v>
      </c>
      <c r="C15" s="6"/>
      <c r="D15" s="6">
        <v>6275</v>
      </c>
      <c r="E15" s="4"/>
      <c r="F15" s="4"/>
      <c r="G15" s="4"/>
      <c r="H15" s="4"/>
      <c r="I15" s="4"/>
      <c r="J15" s="4"/>
    </row>
    <row r="16" spans="1:10" x14ac:dyDescent="0.25">
      <c r="A16" s="4" t="s">
        <v>24</v>
      </c>
      <c r="B16" s="5" t="str">
        <f t="shared" si="0"/>
        <v>G100179</v>
      </c>
      <c r="C16" s="6"/>
      <c r="D16" s="6">
        <v>708153.03</v>
      </c>
      <c r="E16" s="4"/>
      <c r="F16" s="4"/>
      <c r="G16" s="4"/>
      <c r="H16" s="4"/>
      <c r="I16" s="4"/>
      <c r="J16" s="4"/>
    </row>
    <row r="17" spans="1:10" x14ac:dyDescent="0.25">
      <c r="A17" s="4" t="s">
        <v>25</v>
      </c>
      <c r="B17" s="5" t="str">
        <f t="shared" si="0"/>
        <v>G100190</v>
      </c>
      <c r="C17" s="6"/>
      <c r="D17" s="6">
        <v>1842595.16</v>
      </c>
      <c r="E17" s="4"/>
      <c r="F17" s="4"/>
      <c r="G17" s="4"/>
      <c r="H17" s="4"/>
      <c r="I17" s="4"/>
      <c r="J17" s="4"/>
    </row>
    <row r="18" spans="1:10" x14ac:dyDescent="0.25">
      <c r="A18" s="4" t="s">
        <v>26</v>
      </c>
      <c r="B18" s="5" t="str">
        <f t="shared" si="0"/>
        <v>G100231</v>
      </c>
      <c r="C18" s="6"/>
      <c r="D18" s="6">
        <v>1540855.01</v>
      </c>
      <c r="E18" s="4"/>
      <c r="F18" s="4"/>
      <c r="G18" s="4"/>
      <c r="H18" s="4"/>
      <c r="I18" s="4"/>
      <c r="J18" s="4"/>
    </row>
    <row r="19" spans="1:10" x14ac:dyDescent="0.25">
      <c r="A19" s="4" t="s">
        <v>27</v>
      </c>
      <c r="B19" s="5" t="str">
        <f t="shared" si="0"/>
        <v>G100239</v>
      </c>
      <c r="C19" s="6"/>
      <c r="D19" s="6">
        <v>3500</v>
      </c>
      <c r="E19" s="4"/>
      <c r="F19" s="4"/>
      <c r="G19" s="4"/>
      <c r="H19" s="4"/>
      <c r="I19" s="4"/>
      <c r="J19" s="4"/>
    </row>
    <row r="20" spans="1:10" x14ac:dyDescent="0.25">
      <c r="A20" s="4" t="s">
        <v>28</v>
      </c>
      <c r="B20" s="5" t="str">
        <f t="shared" si="0"/>
        <v>G100242</v>
      </c>
      <c r="C20" s="6"/>
      <c r="D20" s="6">
        <v>7830513.2400000002</v>
      </c>
      <c r="E20" s="4"/>
      <c r="F20" s="4"/>
      <c r="G20" s="4"/>
      <c r="H20" s="4"/>
      <c r="I20" s="4"/>
      <c r="J20" s="4"/>
    </row>
    <row r="21" spans="1:10" x14ac:dyDescent="0.25">
      <c r="A21" s="4" t="s">
        <v>29</v>
      </c>
      <c r="B21" s="5" t="str">
        <f t="shared" si="0"/>
        <v>G101458</v>
      </c>
      <c r="C21" s="6"/>
      <c r="D21" s="6">
        <v>877927.95</v>
      </c>
      <c r="E21" s="4"/>
      <c r="F21" s="4"/>
      <c r="G21" s="4"/>
      <c r="H21" s="4"/>
      <c r="I21" s="4"/>
      <c r="J21" s="4"/>
    </row>
    <row r="22" spans="1:10" x14ac:dyDescent="0.25">
      <c r="A22" s="4" t="s">
        <v>30</v>
      </c>
      <c r="B22" s="5" t="str">
        <f t="shared" si="0"/>
        <v>G102015</v>
      </c>
      <c r="C22" s="6"/>
      <c r="D22" s="6">
        <v>2167770.98</v>
      </c>
      <c r="E22" s="4"/>
      <c r="F22" s="4"/>
      <c r="G22" s="4"/>
      <c r="H22" s="4"/>
      <c r="I22" s="4"/>
      <c r="J22" s="4"/>
    </row>
    <row r="23" spans="1:10" x14ac:dyDescent="0.25">
      <c r="A23" s="4" t="s">
        <v>31</v>
      </c>
      <c r="B23" s="5" t="str">
        <f t="shared" si="0"/>
        <v>G102024</v>
      </c>
      <c r="C23" s="6"/>
      <c r="D23" s="6">
        <v>2576.4</v>
      </c>
      <c r="E23" s="4"/>
      <c r="F23" s="4"/>
      <c r="G23" s="4"/>
      <c r="H23" s="4"/>
      <c r="I23" s="4"/>
      <c r="J23" s="4"/>
    </row>
    <row r="24" spans="1:10" x14ac:dyDescent="0.25">
      <c r="A24" s="4" t="s">
        <v>32</v>
      </c>
      <c r="B24" s="5" t="str">
        <f t="shared" si="0"/>
        <v>G100908</v>
      </c>
      <c r="C24" s="6"/>
      <c r="D24" s="6">
        <v>16730</v>
      </c>
      <c r="E24" s="4"/>
      <c r="F24" s="4"/>
      <c r="G24" s="4"/>
      <c r="H24" s="4"/>
      <c r="I24" s="4"/>
      <c r="J24" s="4"/>
    </row>
    <row r="25" spans="1:10" x14ac:dyDescent="0.25">
      <c r="A25" s="4" t="s">
        <v>33</v>
      </c>
      <c r="B25" s="5" t="str">
        <f t="shared" si="0"/>
        <v>G101120</v>
      </c>
      <c r="C25" s="6"/>
      <c r="D25" s="6">
        <v>18167</v>
      </c>
      <c r="E25" s="4"/>
      <c r="F25" s="4"/>
      <c r="G25" s="4"/>
      <c r="H25" s="4"/>
      <c r="I25" s="4"/>
      <c r="J25" s="4"/>
    </row>
    <row r="26" spans="1:10" x14ac:dyDescent="0.25">
      <c r="A26" s="4" t="s">
        <v>34</v>
      </c>
      <c r="B26" s="5" t="str">
        <f t="shared" si="0"/>
        <v>G101125</v>
      </c>
      <c r="C26" s="6"/>
      <c r="D26" s="6">
        <v>2999.18</v>
      </c>
      <c r="E26" s="4"/>
      <c r="F26" s="4"/>
      <c r="G26" s="4"/>
      <c r="H26" s="4"/>
      <c r="I26" s="4"/>
      <c r="J26" s="4"/>
    </row>
    <row r="27" spans="1:10" x14ac:dyDescent="0.25">
      <c r="A27" s="4" t="s">
        <v>35</v>
      </c>
      <c r="B27" s="5" t="str">
        <f t="shared" si="0"/>
        <v>G101119</v>
      </c>
      <c r="C27" s="6"/>
      <c r="D27" s="6">
        <v>63778</v>
      </c>
      <c r="E27" s="4"/>
      <c r="F27" s="4"/>
      <c r="G27" s="4"/>
      <c r="H27" s="4"/>
      <c r="I27" s="4"/>
      <c r="J27" s="4"/>
    </row>
    <row r="28" spans="1:10" x14ac:dyDescent="0.25">
      <c r="A28" s="4" t="s">
        <v>36</v>
      </c>
      <c r="B28" s="5" t="str">
        <f t="shared" si="0"/>
        <v>G101140</v>
      </c>
      <c r="C28" s="6"/>
      <c r="D28" s="6">
        <v>63800</v>
      </c>
      <c r="E28" s="4"/>
      <c r="F28" s="4"/>
      <c r="G28" s="4"/>
      <c r="H28" s="4"/>
      <c r="I28" s="4"/>
      <c r="J28" s="4"/>
    </row>
    <row r="29" spans="1:10" x14ac:dyDescent="0.25">
      <c r="A29" s="4" t="s">
        <v>37</v>
      </c>
      <c r="B29" s="5" t="str">
        <f t="shared" si="0"/>
        <v>G100161</v>
      </c>
      <c r="C29" s="6"/>
      <c r="D29" s="6">
        <v>14000</v>
      </c>
      <c r="E29" s="4"/>
      <c r="F29" s="4"/>
      <c r="G29" s="4"/>
      <c r="H29" s="4"/>
      <c r="I29" s="4"/>
      <c r="J29" s="4"/>
    </row>
    <row r="30" spans="1:10" x14ac:dyDescent="0.25">
      <c r="A30" s="4" t="s">
        <v>38</v>
      </c>
      <c r="B30" s="5" t="str">
        <f t="shared" si="0"/>
        <v>G101896</v>
      </c>
      <c r="C30" s="6"/>
      <c r="D30" s="6">
        <v>3244250</v>
      </c>
      <c r="E30" s="4"/>
      <c r="F30" s="4"/>
      <c r="G30" s="4"/>
      <c r="H30" s="4"/>
      <c r="I30" s="4"/>
      <c r="J30" s="4"/>
    </row>
    <row r="31" spans="1:10" x14ac:dyDescent="0.25">
      <c r="A31" s="4" t="s">
        <v>39</v>
      </c>
      <c r="B31" s="5" t="str">
        <f t="shared" si="0"/>
        <v>G100216</v>
      </c>
      <c r="C31" s="6"/>
      <c r="D31" s="6">
        <v>319752</v>
      </c>
      <c r="E31" s="4"/>
      <c r="F31" s="4"/>
      <c r="G31" s="4"/>
      <c r="H31" s="4"/>
      <c r="I31" s="4"/>
      <c r="J31" s="4"/>
    </row>
    <row r="32" spans="1:10" x14ac:dyDescent="0.25">
      <c r="A32" s="4" t="s">
        <v>40</v>
      </c>
      <c r="B32" s="5" t="str">
        <f t="shared" si="0"/>
        <v>G100220</v>
      </c>
      <c r="C32" s="6"/>
      <c r="D32" s="6">
        <v>38460</v>
      </c>
      <c r="E32" s="4"/>
      <c r="F32" s="4"/>
      <c r="G32" s="4"/>
      <c r="H32" s="4"/>
      <c r="I32" s="4"/>
      <c r="J32" s="4"/>
    </row>
    <row r="33" spans="1:10" x14ac:dyDescent="0.25">
      <c r="A33" s="4" t="s">
        <v>41</v>
      </c>
      <c r="B33" s="5" t="str">
        <f t="shared" si="0"/>
        <v>G100225</v>
      </c>
      <c r="C33" s="6"/>
      <c r="D33" s="6">
        <v>25660</v>
      </c>
      <c r="E33" s="4"/>
      <c r="F33" s="4"/>
      <c r="G33" s="4"/>
      <c r="H33" s="4"/>
      <c r="I33" s="4"/>
      <c r="J33" s="4"/>
    </row>
    <row r="34" spans="1:10" x14ac:dyDescent="0.25">
      <c r="A34" s="4" t="s">
        <v>42</v>
      </c>
      <c r="B34" s="5" t="str">
        <f t="shared" si="0"/>
        <v>G100229</v>
      </c>
      <c r="C34" s="6"/>
      <c r="D34" s="6">
        <v>21988.62</v>
      </c>
      <c r="E34" s="4"/>
      <c r="F34" s="4"/>
      <c r="G34" s="4"/>
      <c r="H34" s="4"/>
      <c r="I34" s="4"/>
      <c r="J34" s="4"/>
    </row>
    <row r="35" spans="1:10" x14ac:dyDescent="0.25">
      <c r="A35" s="4" t="s">
        <v>43</v>
      </c>
      <c r="B35" s="5" t="str">
        <f t="shared" si="0"/>
        <v>G100232</v>
      </c>
      <c r="C35" s="6"/>
      <c r="D35" s="6">
        <v>17516</v>
      </c>
      <c r="E35" s="4"/>
      <c r="F35" s="4"/>
      <c r="G35" s="4"/>
      <c r="H35" s="4"/>
      <c r="I35" s="4"/>
      <c r="J35" s="4"/>
    </row>
    <row r="36" spans="1:10" x14ac:dyDescent="0.25">
      <c r="A36" s="4" t="s">
        <v>44</v>
      </c>
      <c r="B36" s="5" t="str">
        <f t="shared" si="0"/>
        <v>G101583</v>
      </c>
      <c r="C36" s="6"/>
      <c r="D36" s="6">
        <v>2700</v>
      </c>
      <c r="E36" s="4"/>
      <c r="F36" s="4"/>
      <c r="G36" s="4"/>
      <c r="H36" s="4"/>
      <c r="I36" s="4"/>
      <c r="J36" s="4"/>
    </row>
    <row r="37" spans="1:10" x14ac:dyDescent="0.25">
      <c r="A37" s="4" t="s">
        <v>45</v>
      </c>
      <c r="B37" s="5" t="str">
        <f t="shared" si="0"/>
        <v>G100199</v>
      </c>
      <c r="C37" s="6"/>
      <c r="D37" s="6">
        <v>21882</v>
      </c>
      <c r="E37" s="4"/>
      <c r="F37" s="4"/>
      <c r="G37" s="4"/>
      <c r="H37" s="4"/>
      <c r="I37" s="4"/>
      <c r="J37" s="4"/>
    </row>
    <row r="38" spans="1:10" x14ac:dyDescent="0.25">
      <c r="A38" s="4" t="s">
        <v>46</v>
      </c>
      <c r="B38" s="5" t="str">
        <f t="shared" si="0"/>
        <v>G100200</v>
      </c>
      <c r="C38" s="6"/>
      <c r="D38" s="6">
        <v>212025</v>
      </c>
      <c r="E38" s="4"/>
      <c r="F38" s="4"/>
      <c r="G38" s="4"/>
      <c r="H38" s="4"/>
      <c r="I38" s="4"/>
      <c r="J38" s="4"/>
    </row>
    <row r="39" spans="1:10" x14ac:dyDescent="0.25">
      <c r="A39" s="4" t="s">
        <v>47</v>
      </c>
      <c r="B39" s="5" t="str">
        <f t="shared" si="0"/>
        <v>G100201</v>
      </c>
      <c r="C39" s="6"/>
      <c r="D39" s="6">
        <v>216000</v>
      </c>
      <c r="E39" s="4"/>
      <c r="F39" s="4"/>
      <c r="G39" s="4"/>
      <c r="H39" s="4"/>
      <c r="I39" s="4"/>
      <c r="J39" s="4"/>
    </row>
    <row r="40" spans="1:10" x14ac:dyDescent="0.25">
      <c r="A40" s="4" t="s">
        <v>48</v>
      </c>
      <c r="B40" s="5" t="str">
        <f t="shared" si="0"/>
        <v>G100204</v>
      </c>
      <c r="C40" s="6"/>
      <c r="D40" s="6">
        <v>1104</v>
      </c>
      <c r="E40" s="4"/>
      <c r="F40" s="4"/>
      <c r="G40" s="4"/>
      <c r="H40" s="4"/>
      <c r="I40" s="4"/>
      <c r="J40" s="4"/>
    </row>
    <row r="41" spans="1:10" x14ac:dyDescent="0.25">
      <c r="A41" s="4" t="s">
        <v>49</v>
      </c>
      <c r="B41" s="5" t="str">
        <f t="shared" si="0"/>
        <v>G100208</v>
      </c>
      <c r="C41" s="6"/>
      <c r="D41" s="6">
        <v>15340.89</v>
      </c>
      <c r="E41" s="4"/>
      <c r="F41" s="4"/>
      <c r="G41" s="4"/>
      <c r="H41" s="4"/>
      <c r="I41" s="4"/>
      <c r="J41" s="4"/>
    </row>
    <row r="42" spans="1:10" x14ac:dyDescent="0.25">
      <c r="A42" s="4" t="s">
        <v>50</v>
      </c>
      <c r="B42" s="5" t="str">
        <f t="shared" si="0"/>
        <v>G100210</v>
      </c>
      <c r="C42" s="6"/>
      <c r="D42" s="6">
        <v>13200</v>
      </c>
      <c r="E42" s="4"/>
      <c r="F42" s="4"/>
      <c r="G42" s="4"/>
      <c r="H42" s="4"/>
      <c r="I42" s="4"/>
      <c r="J42" s="4"/>
    </row>
    <row r="43" spans="1:10" x14ac:dyDescent="0.25">
      <c r="A43" s="4" t="s">
        <v>51</v>
      </c>
      <c r="B43" s="5" t="str">
        <f t="shared" si="0"/>
        <v>G100166</v>
      </c>
      <c r="C43" s="6"/>
      <c r="D43" s="6">
        <v>108660</v>
      </c>
      <c r="E43" s="4"/>
      <c r="F43" s="4"/>
      <c r="G43" s="4"/>
      <c r="H43" s="4"/>
      <c r="I43" s="4"/>
      <c r="J43" s="4"/>
    </row>
    <row r="44" spans="1:10" x14ac:dyDescent="0.25">
      <c r="A44" s="4" t="s">
        <v>52</v>
      </c>
      <c r="B44" s="5" t="str">
        <f t="shared" si="0"/>
        <v>G100167</v>
      </c>
      <c r="C44" s="6"/>
      <c r="D44" s="6">
        <v>38107.65</v>
      </c>
      <c r="E44" s="4"/>
      <c r="F44" s="4"/>
      <c r="G44" s="4"/>
      <c r="H44" s="4"/>
      <c r="I44" s="4"/>
      <c r="J44" s="4"/>
    </row>
    <row r="45" spans="1:10" x14ac:dyDescent="0.25">
      <c r="A45" s="4" t="s">
        <v>53</v>
      </c>
      <c r="B45" s="5" t="str">
        <f t="shared" si="0"/>
        <v>G100170</v>
      </c>
      <c r="C45" s="6"/>
      <c r="D45" s="6">
        <v>116400</v>
      </c>
      <c r="E45" s="4"/>
      <c r="F45" s="4"/>
      <c r="G45" s="4"/>
      <c r="H45" s="4"/>
      <c r="I45" s="4"/>
      <c r="J45" s="4"/>
    </row>
    <row r="46" spans="1:10" x14ac:dyDescent="0.25">
      <c r="A46" s="4" t="s">
        <v>54</v>
      </c>
      <c r="B46" s="5" t="str">
        <f t="shared" si="0"/>
        <v>G100185</v>
      </c>
      <c r="C46" s="6"/>
      <c r="D46" s="6">
        <v>30000</v>
      </c>
      <c r="E46" s="4"/>
      <c r="F46" s="4"/>
      <c r="G46" s="4"/>
      <c r="H46" s="4"/>
      <c r="I46" s="4"/>
      <c r="J46" s="4"/>
    </row>
    <row r="47" spans="1:10" x14ac:dyDescent="0.25">
      <c r="A47" s="4" t="s">
        <v>55</v>
      </c>
      <c r="B47" s="5" t="str">
        <f t="shared" si="0"/>
        <v>G100191</v>
      </c>
      <c r="C47" s="6"/>
      <c r="D47" s="6">
        <v>191436</v>
      </c>
      <c r="E47" s="4"/>
      <c r="F47" s="4"/>
      <c r="G47" s="4"/>
      <c r="H47" s="4"/>
      <c r="I47" s="4"/>
      <c r="J47" s="4"/>
    </row>
    <row r="48" spans="1:10" x14ac:dyDescent="0.25">
      <c r="A48" s="4" t="s">
        <v>56</v>
      </c>
      <c r="B48" s="5" t="str">
        <f t="shared" si="0"/>
        <v>G100209</v>
      </c>
      <c r="C48" s="6"/>
      <c r="D48" s="6">
        <v>7093079.8499999996</v>
      </c>
      <c r="E48" s="4"/>
      <c r="F48" s="4"/>
      <c r="G48" s="4"/>
      <c r="H48" s="4"/>
      <c r="I48" s="4"/>
      <c r="J48" s="4"/>
    </row>
    <row r="49" spans="1:10" x14ac:dyDescent="0.25">
      <c r="A49" s="4"/>
      <c r="B49" s="5" t="str">
        <f t="shared" si="0"/>
        <v/>
      </c>
      <c r="C49" s="6"/>
      <c r="D49" s="6"/>
      <c r="E49" s="4"/>
      <c r="F49" s="4"/>
      <c r="G49" s="4"/>
      <c r="H49" s="4"/>
      <c r="I49" s="4"/>
      <c r="J49" s="4"/>
    </row>
    <row r="50" spans="1:10" x14ac:dyDescent="0.25">
      <c r="A50" s="4"/>
      <c r="B50" s="5" t="str">
        <f t="shared" si="0"/>
        <v/>
      </c>
      <c r="C50" s="6"/>
      <c r="D50" s="6"/>
      <c r="E50" s="4"/>
      <c r="F50" s="4"/>
      <c r="G50" s="4"/>
      <c r="H50" s="4"/>
      <c r="I50" s="4"/>
      <c r="J50" s="4"/>
    </row>
    <row r="51" spans="1:10" x14ac:dyDescent="0.25">
      <c r="A51" s="4"/>
      <c r="B51" s="5" t="str">
        <f t="shared" si="0"/>
        <v/>
      </c>
      <c r="C51" s="6"/>
      <c r="D51" s="6"/>
      <c r="E51" s="4"/>
      <c r="F51" s="4"/>
      <c r="G51" s="4"/>
      <c r="H51" s="4"/>
      <c r="I51" s="4"/>
      <c r="J51" s="4"/>
    </row>
    <row r="52" spans="1:10" x14ac:dyDescent="0.25">
      <c r="A52" s="4"/>
      <c r="B52" s="5" t="str">
        <f t="shared" si="0"/>
        <v/>
      </c>
      <c r="C52" s="6"/>
      <c r="D52" s="6"/>
      <c r="E52" s="4"/>
      <c r="F52" s="4"/>
      <c r="G52" s="4"/>
      <c r="H52" s="4"/>
      <c r="I52" s="4"/>
      <c r="J52" s="4"/>
    </row>
    <row r="53" spans="1:10" x14ac:dyDescent="0.25">
      <c r="A53" s="4"/>
      <c r="B53" s="5" t="str">
        <f t="shared" si="0"/>
        <v/>
      </c>
      <c r="C53" s="6"/>
      <c r="D53" s="6"/>
      <c r="E53" s="4"/>
      <c r="F53" s="4"/>
      <c r="G53" s="4"/>
      <c r="H53" s="4"/>
      <c r="I53" s="4"/>
      <c r="J53" s="4"/>
    </row>
    <row r="54" spans="1:10" x14ac:dyDescent="0.25">
      <c r="A54" s="4"/>
      <c r="B54" s="5" t="str">
        <f t="shared" si="0"/>
        <v/>
      </c>
      <c r="C54" s="6"/>
      <c r="D54" s="6"/>
      <c r="E54" s="4"/>
      <c r="F54" s="4"/>
      <c r="G54" s="4"/>
      <c r="H54" s="4"/>
      <c r="I54" s="4"/>
      <c r="J54" s="4"/>
    </row>
    <row r="55" spans="1:10" x14ac:dyDescent="0.25">
      <c r="A55" s="4"/>
      <c r="B55" s="5" t="str">
        <f t="shared" si="0"/>
        <v/>
      </c>
      <c r="C55" s="6"/>
      <c r="D55" s="6"/>
      <c r="E55" s="4"/>
      <c r="F55" s="4"/>
      <c r="G55" s="4"/>
      <c r="H55" s="4"/>
      <c r="I55" s="4"/>
      <c r="J55" s="4"/>
    </row>
    <row r="56" spans="1:10" x14ac:dyDescent="0.25">
      <c r="A56" s="4"/>
      <c r="B56" s="5" t="str">
        <f t="shared" si="0"/>
        <v/>
      </c>
      <c r="C56" s="6"/>
      <c r="D56" s="6"/>
      <c r="E56" s="4"/>
      <c r="F56" s="4"/>
      <c r="G56" s="4"/>
      <c r="H56" s="4"/>
      <c r="I56" s="4"/>
      <c r="J56" s="4"/>
    </row>
    <row r="57" spans="1:10" x14ac:dyDescent="0.25">
      <c r="A57" s="4"/>
      <c r="B57" s="5" t="str">
        <f t="shared" si="0"/>
        <v/>
      </c>
      <c r="C57" s="6"/>
      <c r="D57" s="6"/>
      <c r="E57" s="4"/>
      <c r="F57" s="4"/>
      <c r="G57" s="4"/>
      <c r="H57" s="4"/>
      <c r="I57" s="4"/>
      <c r="J57" s="4"/>
    </row>
    <row r="58" spans="1:10" x14ac:dyDescent="0.25">
      <c r="A58" s="4"/>
      <c r="B58" s="5" t="str">
        <f t="shared" si="0"/>
        <v/>
      </c>
      <c r="C58" s="6"/>
      <c r="D58" s="6"/>
      <c r="E58" s="4"/>
      <c r="F58" s="4"/>
      <c r="G58" s="4"/>
      <c r="H58" s="4"/>
      <c r="I58" s="4"/>
      <c r="J58" s="4"/>
    </row>
    <row r="59" spans="1:10" x14ac:dyDescent="0.25">
      <c r="A59" s="4"/>
      <c r="B59" s="5" t="str">
        <f t="shared" si="0"/>
        <v/>
      </c>
      <c r="C59" s="6"/>
      <c r="D59" s="6"/>
      <c r="E59" s="4"/>
      <c r="F59" s="4"/>
      <c r="G59" s="4"/>
      <c r="H59" s="4"/>
      <c r="I59" s="4"/>
      <c r="J59" s="4"/>
    </row>
    <row r="60" spans="1:10" x14ac:dyDescent="0.25">
      <c r="A60" s="4"/>
      <c r="B60" s="5" t="str">
        <f t="shared" si="0"/>
        <v/>
      </c>
      <c r="C60" s="6"/>
      <c r="D60" s="6"/>
      <c r="E60" s="4"/>
      <c r="F60" s="4"/>
      <c r="G60" s="4"/>
      <c r="H60" s="4"/>
      <c r="I60" s="4"/>
      <c r="J60" s="4"/>
    </row>
    <row r="61" spans="1:10" x14ac:dyDescent="0.25">
      <c r="A61" s="4"/>
      <c r="B61" s="5" t="str">
        <f t="shared" si="0"/>
        <v/>
      </c>
      <c r="C61" s="6"/>
      <c r="D61" s="6"/>
      <c r="E61" s="4"/>
      <c r="F61" s="4"/>
      <c r="G61" s="4"/>
      <c r="H61" s="4"/>
      <c r="I61" s="4"/>
      <c r="J61" s="4"/>
    </row>
    <row r="62" spans="1:10" x14ac:dyDescent="0.25">
      <c r="A62" s="4"/>
      <c r="B62" s="5" t="str">
        <f t="shared" si="0"/>
        <v/>
      </c>
      <c r="C62" s="6"/>
      <c r="D62" s="6"/>
      <c r="E62" s="4"/>
      <c r="F62" s="4"/>
      <c r="G62" s="4"/>
      <c r="H62" s="4"/>
      <c r="I62" s="4"/>
      <c r="J62" s="4"/>
    </row>
    <row r="63" spans="1:10" x14ac:dyDescent="0.25">
      <c r="A63" s="4"/>
      <c r="B63" s="5" t="str">
        <f t="shared" si="0"/>
        <v/>
      </c>
      <c r="C63" s="6"/>
      <c r="D63" s="6"/>
      <c r="E63" s="4"/>
      <c r="F63" s="4"/>
      <c r="G63" s="4"/>
      <c r="H63" s="4"/>
      <c r="I63" s="4"/>
      <c r="J63" s="4"/>
    </row>
    <row r="64" spans="1:10" x14ac:dyDescent="0.25">
      <c r="A64" s="4"/>
      <c r="B64" s="5" t="str">
        <f t="shared" si="0"/>
        <v/>
      </c>
      <c r="C64" s="6"/>
      <c r="D64" s="6"/>
      <c r="E64" s="4"/>
      <c r="F64" s="4"/>
      <c r="G64" s="4"/>
      <c r="H64" s="4"/>
      <c r="I64" s="4"/>
      <c r="J64" s="4"/>
    </row>
    <row r="65" spans="1:10" x14ac:dyDescent="0.25">
      <c r="A65" s="4"/>
      <c r="B65" s="5" t="str">
        <f t="shared" si="0"/>
        <v/>
      </c>
      <c r="C65" s="6"/>
      <c r="D65" s="6"/>
      <c r="E65" s="4"/>
      <c r="F65" s="4"/>
      <c r="G65" s="4"/>
      <c r="H65" s="4"/>
      <c r="I65" s="4"/>
      <c r="J65" s="4"/>
    </row>
    <row r="66" spans="1:10" x14ac:dyDescent="0.25">
      <c r="A66" s="4"/>
      <c r="B66" s="5" t="str">
        <f t="shared" ref="B66:B129" si="1">IF($A66="","",IFERROR(INDEX(AccountCode,MATCH($A66,AccountName,0)),IFERROR(INDEX(AccountCode,MATCH($A66,AccountCode,0)),"NOT FOUND")))</f>
        <v/>
      </c>
      <c r="C66" s="6"/>
      <c r="D66" s="6"/>
      <c r="E66" s="4"/>
      <c r="F66" s="4"/>
      <c r="G66" s="4"/>
      <c r="H66" s="4"/>
      <c r="I66" s="4"/>
      <c r="J66" s="4"/>
    </row>
    <row r="67" spans="1:10" x14ac:dyDescent="0.25">
      <c r="A67" s="4"/>
      <c r="B67" s="5" t="str">
        <f t="shared" si="1"/>
        <v/>
      </c>
      <c r="C67" s="6"/>
      <c r="D67" s="6"/>
      <c r="E67" s="4"/>
      <c r="F67" s="4"/>
      <c r="G67" s="4"/>
      <c r="H67" s="4"/>
      <c r="I67" s="4"/>
      <c r="J67" s="4"/>
    </row>
    <row r="68" spans="1:10" x14ac:dyDescent="0.25">
      <c r="A68" s="4"/>
      <c r="B68" s="5" t="str">
        <f t="shared" si="1"/>
        <v/>
      </c>
      <c r="C68" s="6"/>
      <c r="D68" s="6"/>
      <c r="E68" s="4"/>
      <c r="F68" s="4"/>
      <c r="G68" s="4"/>
      <c r="H68" s="4"/>
      <c r="I68" s="4"/>
      <c r="J68" s="4"/>
    </row>
    <row r="69" spans="1:10" x14ac:dyDescent="0.25">
      <c r="A69" s="4"/>
      <c r="B69" s="5" t="str">
        <f t="shared" si="1"/>
        <v/>
      </c>
      <c r="C69" s="6"/>
      <c r="D69" s="6"/>
      <c r="E69" s="4"/>
      <c r="F69" s="4"/>
      <c r="G69" s="4"/>
      <c r="H69" s="4"/>
      <c r="I69" s="4"/>
      <c r="J69" s="4"/>
    </row>
    <row r="70" spans="1:10" x14ac:dyDescent="0.25">
      <c r="A70" s="4"/>
      <c r="B70" s="5" t="str">
        <f t="shared" si="1"/>
        <v/>
      </c>
      <c r="C70" s="6"/>
      <c r="D70" s="6"/>
      <c r="E70" s="4"/>
      <c r="F70" s="4"/>
      <c r="G70" s="4"/>
      <c r="H70" s="4"/>
      <c r="I70" s="4"/>
      <c r="J70" s="4"/>
    </row>
    <row r="71" spans="1:10" x14ac:dyDescent="0.25">
      <c r="A71" s="4"/>
      <c r="B71" s="5" t="str">
        <f t="shared" si="1"/>
        <v/>
      </c>
      <c r="C71" s="6"/>
      <c r="D71" s="6"/>
      <c r="E71" s="4"/>
      <c r="F71" s="4"/>
      <c r="G71" s="4"/>
      <c r="H71" s="4"/>
      <c r="I71" s="4"/>
      <c r="J71" s="4"/>
    </row>
    <row r="72" spans="1:10" x14ac:dyDescent="0.25">
      <c r="A72" s="4"/>
      <c r="B72" s="5" t="str">
        <f t="shared" si="1"/>
        <v/>
      </c>
      <c r="C72" s="6"/>
      <c r="D72" s="6"/>
      <c r="E72" s="4"/>
      <c r="F72" s="4"/>
      <c r="G72" s="4"/>
      <c r="H72" s="4"/>
      <c r="I72" s="4"/>
      <c r="J72" s="4"/>
    </row>
    <row r="73" spans="1:10" x14ac:dyDescent="0.25">
      <c r="A73" s="4"/>
      <c r="B73" s="5" t="str">
        <f t="shared" si="1"/>
        <v/>
      </c>
      <c r="C73" s="6"/>
      <c r="D73" s="6"/>
      <c r="E73" s="4"/>
      <c r="F73" s="4"/>
      <c r="G73" s="4"/>
      <c r="H73" s="4"/>
      <c r="I73" s="4"/>
      <c r="J73" s="4"/>
    </row>
    <row r="74" spans="1:10" x14ac:dyDescent="0.25">
      <c r="A74" s="4"/>
      <c r="B74" s="5" t="str">
        <f t="shared" si="1"/>
        <v/>
      </c>
      <c r="C74" s="6"/>
      <c r="D74" s="6"/>
      <c r="E74" s="4"/>
      <c r="F74" s="4"/>
      <c r="G74" s="4"/>
      <c r="H74" s="4"/>
      <c r="I74" s="4"/>
      <c r="J74" s="4"/>
    </row>
    <row r="75" spans="1:10" x14ac:dyDescent="0.25">
      <c r="A75" s="4"/>
      <c r="B75" s="5" t="str">
        <f t="shared" si="1"/>
        <v/>
      </c>
      <c r="C75" s="6"/>
      <c r="D75" s="6"/>
      <c r="E75" s="4"/>
      <c r="F75" s="4"/>
      <c r="G75" s="4"/>
      <c r="H75" s="4"/>
      <c r="I75" s="4"/>
      <c r="J75" s="4"/>
    </row>
    <row r="76" spans="1:10" x14ac:dyDescent="0.25">
      <c r="A76" s="4"/>
      <c r="B76" s="5" t="str">
        <f t="shared" si="1"/>
        <v/>
      </c>
      <c r="C76" s="6"/>
      <c r="D76" s="6"/>
      <c r="E76" s="4"/>
      <c r="F76" s="4"/>
      <c r="G76" s="4"/>
      <c r="H76" s="4"/>
      <c r="I76" s="4"/>
      <c r="J76" s="4"/>
    </row>
    <row r="77" spans="1:10" x14ac:dyDescent="0.25">
      <c r="A77" s="4"/>
      <c r="B77" s="5" t="str">
        <f t="shared" si="1"/>
        <v/>
      </c>
      <c r="C77" s="6"/>
      <c r="D77" s="6"/>
      <c r="E77" s="4"/>
      <c r="F77" s="4"/>
      <c r="G77" s="4"/>
      <c r="H77" s="4"/>
      <c r="I77" s="4"/>
      <c r="J77" s="4"/>
    </row>
    <row r="78" spans="1:10" x14ac:dyDescent="0.25">
      <c r="A78" s="4"/>
      <c r="B78" s="5" t="str">
        <f t="shared" si="1"/>
        <v/>
      </c>
      <c r="C78" s="6"/>
      <c r="D78" s="6"/>
      <c r="E78" s="4"/>
      <c r="F78" s="4"/>
      <c r="G78" s="4"/>
      <c r="H78" s="4"/>
      <c r="I78" s="4"/>
      <c r="J78" s="4"/>
    </row>
    <row r="79" spans="1:10" x14ac:dyDescent="0.25">
      <c r="A79" s="4"/>
      <c r="B79" s="5" t="str">
        <f t="shared" si="1"/>
        <v/>
      </c>
      <c r="C79" s="6"/>
      <c r="D79" s="6"/>
      <c r="E79" s="4"/>
      <c r="F79" s="4"/>
      <c r="G79" s="4"/>
      <c r="H79" s="4"/>
      <c r="I79" s="4"/>
      <c r="J79" s="4"/>
    </row>
    <row r="80" spans="1:10" x14ac:dyDescent="0.25">
      <c r="A80" s="4"/>
      <c r="B80" s="5" t="str">
        <f t="shared" si="1"/>
        <v/>
      </c>
      <c r="C80" s="6"/>
      <c r="D80" s="6"/>
      <c r="E80" s="4"/>
      <c r="F80" s="4"/>
      <c r="G80" s="4"/>
      <c r="H80" s="4"/>
      <c r="I80" s="4"/>
      <c r="J80" s="4"/>
    </row>
    <row r="81" spans="1:10" x14ac:dyDescent="0.25">
      <c r="A81" s="4"/>
      <c r="B81" s="5" t="str">
        <f t="shared" si="1"/>
        <v/>
      </c>
      <c r="C81" s="6"/>
      <c r="D81" s="6"/>
      <c r="E81" s="4"/>
      <c r="F81" s="4"/>
      <c r="G81" s="4"/>
      <c r="H81" s="4"/>
      <c r="I81" s="4"/>
      <c r="J81" s="4"/>
    </row>
    <row r="82" spans="1:10" x14ac:dyDescent="0.25">
      <c r="A82" s="4"/>
      <c r="B82" s="5" t="str">
        <f t="shared" si="1"/>
        <v/>
      </c>
      <c r="C82" s="6"/>
      <c r="D82" s="6"/>
      <c r="E82" s="4"/>
      <c r="F82" s="4"/>
      <c r="G82" s="4"/>
      <c r="H82" s="4"/>
      <c r="I82" s="4"/>
      <c r="J82" s="4"/>
    </row>
    <row r="83" spans="1:10" x14ac:dyDescent="0.25">
      <c r="A83" s="4"/>
      <c r="B83" s="5" t="str">
        <f t="shared" si="1"/>
        <v/>
      </c>
      <c r="C83" s="6"/>
      <c r="D83" s="6"/>
      <c r="E83" s="4"/>
      <c r="F83" s="4"/>
      <c r="G83" s="4"/>
      <c r="H83" s="4"/>
      <c r="I83" s="4"/>
      <c r="J83" s="4"/>
    </row>
    <row r="84" spans="1:10" x14ac:dyDescent="0.25">
      <c r="A84" s="4"/>
      <c r="B84" s="5" t="str">
        <f t="shared" si="1"/>
        <v/>
      </c>
      <c r="C84" s="6"/>
      <c r="D84" s="6"/>
      <c r="E84" s="4"/>
      <c r="F84" s="4"/>
      <c r="G84" s="4"/>
      <c r="H84" s="4"/>
      <c r="I84" s="4"/>
      <c r="J84" s="4"/>
    </row>
    <row r="85" spans="1:10" x14ac:dyDescent="0.25">
      <c r="A85" s="4"/>
      <c r="B85" s="5" t="str">
        <f t="shared" si="1"/>
        <v/>
      </c>
      <c r="C85" s="6"/>
      <c r="D85" s="6"/>
      <c r="E85" s="4"/>
      <c r="F85" s="4"/>
      <c r="G85" s="4"/>
      <c r="H85" s="4"/>
      <c r="I85" s="4"/>
      <c r="J85" s="4"/>
    </row>
    <row r="86" spans="1:10" x14ac:dyDescent="0.25">
      <c r="A86" s="4"/>
      <c r="B86" s="5" t="str">
        <f t="shared" si="1"/>
        <v/>
      </c>
      <c r="C86" s="6"/>
      <c r="D86" s="6"/>
      <c r="E86" s="4"/>
      <c r="F86" s="4"/>
      <c r="G86" s="4"/>
      <c r="H86" s="4"/>
      <c r="I86" s="4"/>
      <c r="J86" s="4"/>
    </row>
    <row r="87" spans="1:10" x14ac:dyDescent="0.25">
      <c r="A87" s="4"/>
      <c r="B87" s="5" t="str">
        <f t="shared" si="1"/>
        <v/>
      </c>
      <c r="C87" s="6"/>
      <c r="D87" s="6"/>
      <c r="E87" s="4"/>
      <c r="F87" s="4"/>
      <c r="G87" s="4"/>
      <c r="H87" s="4"/>
      <c r="I87" s="4"/>
      <c r="J87" s="4"/>
    </row>
    <row r="88" spans="1:10" x14ac:dyDescent="0.25">
      <c r="A88" s="4"/>
      <c r="B88" s="5" t="str">
        <f t="shared" si="1"/>
        <v/>
      </c>
      <c r="C88" s="6"/>
      <c r="D88" s="6"/>
      <c r="E88" s="4"/>
      <c r="F88" s="4"/>
      <c r="G88" s="4"/>
      <c r="H88" s="4"/>
      <c r="I88" s="4"/>
      <c r="J88" s="4"/>
    </row>
    <row r="89" spans="1:10" x14ac:dyDescent="0.25">
      <c r="A89" s="4"/>
      <c r="B89" s="5" t="str">
        <f t="shared" si="1"/>
        <v/>
      </c>
      <c r="C89" s="6"/>
      <c r="D89" s="6"/>
      <c r="E89" s="4"/>
      <c r="F89" s="4"/>
      <c r="G89" s="4"/>
      <c r="H89" s="4"/>
      <c r="I89" s="4"/>
      <c r="J89" s="4"/>
    </row>
    <row r="90" spans="1:10" x14ac:dyDescent="0.25">
      <c r="A90" s="4"/>
      <c r="B90" s="5" t="str">
        <f t="shared" si="1"/>
        <v/>
      </c>
      <c r="C90" s="6"/>
      <c r="D90" s="6"/>
      <c r="E90" s="4"/>
      <c r="F90" s="4"/>
      <c r="G90" s="4"/>
      <c r="H90" s="4"/>
      <c r="I90" s="4"/>
      <c r="J90" s="4"/>
    </row>
    <row r="91" spans="1:10" x14ac:dyDescent="0.25">
      <c r="A91" s="4"/>
      <c r="B91" s="5" t="str">
        <f t="shared" si="1"/>
        <v/>
      </c>
      <c r="C91" s="6"/>
      <c r="D91" s="6"/>
      <c r="E91" s="4"/>
      <c r="F91" s="4"/>
      <c r="G91" s="4"/>
      <c r="H91" s="4"/>
      <c r="I91" s="4"/>
      <c r="J91" s="4"/>
    </row>
    <row r="92" spans="1:10" x14ac:dyDescent="0.25">
      <c r="A92" s="4"/>
      <c r="B92" s="5" t="str">
        <f t="shared" si="1"/>
        <v/>
      </c>
      <c r="C92" s="6"/>
      <c r="D92" s="6"/>
      <c r="E92" s="4"/>
      <c r="F92" s="4"/>
      <c r="G92" s="4"/>
      <c r="H92" s="4"/>
      <c r="I92" s="4"/>
      <c r="J92" s="4"/>
    </row>
    <row r="93" spans="1:10" x14ac:dyDescent="0.25">
      <c r="A93" s="4"/>
      <c r="B93" s="5" t="str">
        <f t="shared" si="1"/>
        <v/>
      </c>
      <c r="C93" s="6"/>
      <c r="D93" s="6"/>
      <c r="E93" s="4"/>
      <c r="F93" s="4"/>
      <c r="G93" s="4"/>
      <c r="H93" s="4"/>
      <c r="I93" s="4"/>
      <c r="J93" s="4"/>
    </row>
    <row r="94" spans="1:10" x14ac:dyDescent="0.25">
      <c r="A94" s="4"/>
      <c r="B94" s="5" t="str">
        <f t="shared" si="1"/>
        <v/>
      </c>
      <c r="C94" s="6"/>
      <c r="D94" s="6"/>
      <c r="E94" s="4"/>
      <c r="F94" s="4"/>
      <c r="G94" s="4"/>
      <c r="H94" s="4"/>
      <c r="I94" s="4"/>
      <c r="J94" s="4"/>
    </row>
    <row r="95" spans="1:10" x14ac:dyDescent="0.25">
      <c r="A95" s="4"/>
      <c r="B95" s="5" t="str">
        <f t="shared" si="1"/>
        <v/>
      </c>
      <c r="C95" s="6"/>
      <c r="D95" s="6"/>
      <c r="E95" s="4"/>
      <c r="F95" s="4"/>
      <c r="G95" s="4"/>
      <c r="H95" s="4"/>
      <c r="I95" s="4"/>
      <c r="J95" s="4"/>
    </row>
    <row r="96" spans="1:10" x14ac:dyDescent="0.25">
      <c r="A96" s="4"/>
      <c r="B96" s="5" t="str">
        <f t="shared" si="1"/>
        <v/>
      </c>
      <c r="C96" s="6"/>
      <c r="D96" s="6"/>
      <c r="E96" s="4"/>
      <c r="F96" s="4"/>
      <c r="G96" s="4"/>
      <c r="H96" s="4"/>
      <c r="I96" s="4"/>
      <c r="J96" s="4"/>
    </row>
    <row r="97" spans="1:10" x14ac:dyDescent="0.25">
      <c r="A97" s="4"/>
      <c r="B97" s="5" t="str">
        <f t="shared" si="1"/>
        <v/>
      </c>
      <c r="C97" s="6"/>
      <c r="D97" s="6"/>
      <c r="E97" s="4"/>
      <c r="F97" s="4"/>
      <c r="G97" s="4"/>
      <c r="H97" s="4"/>
      <c r="I97" s="4"/>
      <c r="J97" s="4"/>
    </row>
    <row r="98" spans="1:10" x14ac:dyDescent="0.25">
      <c r="A98" s="4"/>
      <c r="B98" s="5" t="str">
        <f t="shared" si="1"/>
        <v/>
      </c>
      <c r="C98" s="6"/>
      <c r="D98" s="6"/>
      <c r="E98" s="4"/>
      <c r="F98" s="4"/>
      <c r="G98" s="4"/>
      <c r="H98" s="4"/>
      <c r="I98" s="4"/>
      <c r="J98" s="4"/>
    </row>
    <row r="99" spans="1:10" x14ac:dyDescent="0.25">
      <c r="A99" s="4"/>
      <c r="B99" s="5" t="str">
        <f t="shared" si="1"/>
        <v/>
      </c>
      <c r="C99" s="6"/>
      <c r="D99" s="6"/>
      <c r="E99" s="4"/>
      <c r="F99" s="4"/>
      <c r="G99" s="4"/>
      <c r="H99" s="4"/>
      <c r="I99" s="4"/>
      <c r="J99" s="4"/>
    </row>
    <row r="100" spans="1:10" x14ac:dyDescent="0.25">
      <c r="A100" s="4"/>
      <c r="B100" s="5" t="str">
        <f t="shared" si="1"/>
        <v/>
      </c>
      <c r="C100" s="6"/>
      <c r="D100" s="6"/>
      <c r="E100" s="4"/>
      <c r="F100" s="4"/>
      <c r="G100" s="4"/>
      <c r="H100" s="4"/>
      <c r="I100" s="4"/>
      <c r="J100" s="4"/>
    </row>
    <row r="101" spans="1:10" x14ac:dyDescent="0.25">
      <c r="A101" s="4"/>
      <c r="B101" s="5" t="str">
        <f t="shared" si="1"/>
        <v/>
      </c>
      <c r="C101" s="6"/>
      <c r="D101" s="6"/>
      <c r="E101" s="4"/>
      <c r="F101" s="4"/>
      <c r="G101" s="4"/>
      <c r="H101" s="4"/>
      <c r="I101" s="4"/>
      <c r="J101" s="4"/>
    </row>
    <row r="102" spans="1:10" x14ac:dyDescent="0.25">
      <c r="A102" s="4"/>
      <c r="B102" s="5" t="str">
        <f t="shared" si="1"/>
        <v/>
      </c>
      <c r="C102" s="6"/>
      <c r="D102" s="6"/>
      <c r="E102" s="4"/>
      <c r="F102" s="4"/>
      <c r="G102" s="4"/>
      <c r="H102" s="4"/>
      <c r="I102" s="4"/>
      <c r="J102" s="4"/>
    </row>
    <row r="103" spans="1:10" x14ac:dyDescent="0.25">
      <c r="A103" s="4"/>
      <c r="B103" s="5" t="str">
        <f t="shared" si="1"/>
        <v/>
      </c>
      <c r="C103" s="6"/>
      <c r="D103" s="6"/>
      <c r="E103" s="4"/>
      <c r="F103" s="4"/>
      <c r="G103" s="4"/>
      <c r="H103" s="4"/>
      <c r="I103" s="4"/>
      <c r="J103" s="4"/>
    </row>
    <row r="104" spans="1:10" x14ac:dyDescent="0.25">
      <c r="A104" s="4"/>
      <c r="B104" s="5" t="str">
        <f t="shared" si="1"/>
        <v/>
      </c>
      <c r="C104" s="6"/>
      <c r="D104" s="6"/>
      <c r="E104" s="4"/>
      <c r="F104" s="4"/>
      <c r="G104" s="4"/>
      <c r="H104" s="4"/>
      <c r="I104" s="4"/>
      <c r="J104" s="4"/>
    </row>
    <row r="105" spans="1:10" x14ac:dyDescent="0.25">
      <c r="A105" s="4"/>
      <c r="B105" s="5" t="str">
        <f t="shared" si="1"/>
        <v/>
      </c>
      <c r="C105" s="6"/>
      <c r="D105" s="6"/>
      <c r="E105" s="4"/>
      <c r="F105" s="4"/>
      <c r="G105" s="4"/>
      <c r="H105" s="4"/>
      <c r="I105" s="4"/>
      <c r="J105" s="4"/>
    </row>
    <row r="106" spans="1:10" x14ac:dyDescent="0.25">
      <c r="A106" s="4"/>
      <c r="B106" s="5" t="str">
        <f t="shared" si="1"/>
        <v/>
      </c>
      <c r="C106" s="6"/>
      <c r="D106" s="6"/>
      <c r="E106" s="4"/>
      <c r="F106" s="4"/>
      <c r="G106" s="4"/>
      <c r="H106" s="4"/>
      <c r="I106" s="4"/>
      <c r="J106" s="4"/>
    </row>
    <row r="107" spans="1:10" x14ac:dyDescent="0.25">
      <c r="A107" s="4"/>
      <c r="B107" s="5" t="str">
        <f t="shared" si="1"/>
        <v/>
      </c>
      <c r="C107" s="6"/>
      <c r="D107" s="6"/>
      <c r="E107" s="4"/>
      <c r="F107" s="4"/>
      <c r="G107" s="4"/>
      <c r="H107" s="4"/>
      <c r="I107" s="4"/>
      <c r="J107" s="4"/>
    </row>
    <row r="108" spans="1:10" x14ac:dyDescent="0.25">
      <c r="A108" s="4"/>
      <c r="B108" s="5" t="str">
        <f t="shared" si="1"/>
        <v/>
      </c>
      <c r="C108" s="6"/>
      <c r="D108" s="6"/>
      <c r="E108" s="4"/>
      <c r="F108" s="4"/>
      <c r="G108" s="4"/>
      <c r="H108" s="4"/>
      <c r="I108" s="4"/>
      <c r="J108" s="4"/>
    </row>
    <row r="109" spans="1:10" x14ac:dyDescent="0.25">
      <c r="A109" s="4"/>
      <c r="B109" s="5" t="str">
        <f t="shared" si="1"/>
        <v/>
      </c>
      <c r="C109" s="6"/>
      <c r="D109" s="6"/>
      <c r="E109" s="4"/>
      <c r="F109" s="4"/>
      <c r="G109" s="4"/>
      <c r="H109" s="4"/>
      <c r="I109" s="4"/>
      <c r="J109" s="4"/>
    </row>
    <row r="110" spans="1:10" x14ac:dyDescent="0.25">
      <c r="A110" s="4"/>
      <c r="B110" s="5" t="str">
        <f t="shared" si="1"/>
        <v/>
      </c>
      <c r="C110" s="6"/>
      <c r="D110" s="6"/>
      <c r="E110" s="4"/>
      <c r="F110" s="4"/>
      <c r="G110" s="4"/>
      <c r="H110" s="4"/>
      <c r="I110" s="4"/>
      <c r="J110" s="4"/>
    </row>
    <row r="111" spans="1:10" x14ac:dyDescent="0.25">
      <c r="A111" s="4"/>
      <c r="B111" s="5" t="str">
        <f t="shared" si="1"/>
        <v/>
      </c>
      <c r="C111" s="6"/>
      <c r="D111" s="6"/>
      <c r="E111" s="4"/>
      <c r="F111" s="4"/>
      <c r="G111" s="4"/>
      <c r="H111" s="4"/>
      <c r="I111" s="4"/>
      <c r="J111" s="4"/>
    </row>
    <row r="112" spans="1:10" x14ac:dyDescent="0.25">
      <c r="A112" s="4"/>
      <c r="B112" s="5" t="str">
        <f t="shared" si="1"/>
        <v/>
      </c>
      <c r="C112" s="6"/>
      <c r="D112" s="6"/>
      <c r="E112" s="4"/>
      <c r="F112" s="4"/>
      <c r="G112" s="4"/>
      <c r="H112" s="4"/>
      <c r="I112" s="4"/>
      <c r="J112" s="4"/>
    </row>
    <row r="113" spans="1:10" x14ac:dyDescent="0.25">
      <c r="A113" s="4"/>
      <c r="B113" s="5" t="str">
        <f t="shared" si="1"/>
        <v/>
      </c>
      <c r="C113" s="6"/>
      <c r="D113" s="6"/>
      <c r="E113" s="4"/>
      <c r="F113" s="4"/>
      <c r="G113" s="4"/>
      <c r="H113" s="4"/>
      <c r="I113" s="4"/>
      <c r="J113" s="4"/>
    </row>
    <row r="114" spans="1:10" x14ac:dyDescent="0.25">
      <c r="A114" s="4"/>
      <c r="B114" s="5" t="str">
        <f t="shared" si="1"/>
        <v/>
      </c>
      <c r="C114" s="6"/>
      <c r="D114" s="6"/>
      <c r="E114" s="4"/>
      <c r="F114" s="4"/>
      <c r="G114" s="4"/>
      <c r="H114" s="4"/>
      <c r="I114" s="4"/>
      <c r="J114" s="4"/>
    </row>
    <row r="115" spans="1:10" x14ac:dyDescent="0.25">
      <c r="A115" s="4"/>
      <c r="B115" s="5" t="str">
        <f t="shared" si="1"/>
        <v/>
      </c>
      <c r="C115" s="6"/>
      <c r="D115" s="6"/>
      <c r="E115" s="4"/>
      <c r="F115" s="4"/>
      <c r="G115" s="4"/>
      <c r="H115" s="4"/>
      <c r="I115" s="4"/>
      <c r="J115" s="4"/>
    </row>
    <row r="116" spans="1:10" x14ac:dyDescent="0.25">
      <c r="A116" s="4"/>
      <c r="B116" s="5" t="str">
        <f t="shared" si="1"/>
        <v/>
      </c>
      <c r="C116" s="6"/>
      <c r="D116" s="6"/>
      <c r="E116" s="4"/>
      <c r="F116" s="4"/>
      <c r="G116" s="4"/>
      <c r="H116" s="4"/>
      <c r="I116" s="4"/>
      <c r="J116" s="4"/>
    </row>
    <row r="117" spans="1:10" x14ac:dyDescent="0.25">
      <c r="A117" s="4"/>
      <c r="B117" s="5" t="str">
        <f t="shared" si="1"/>
        <v/>
      </c>
      <c r="C117" s="6"/>
      <c r="D117" s="6"/>
      <c r="E117" s="4"/>
      <c r="F117" s="4"/>
      <c r="G117" s="4"/>
      <c r="H117" s="4"/>
      <c r="I117" s="4"/>
      <c r="J117" s="4"/>
    </row>
    <row r="118" spans="1:10" x14ac:dyDescent="0.25">
      <c r="A118" s="4"/>
      <c r="B118" s="5" t="str">
        <f t="shared" si="1"/>
        <v/>
      </c>
      <c r="C118" s="6"/>
      <c r="D118" s="6"/>
      <c r="E118" s="4"/>
      <c r="F118" s="4"/>
      <c r="G118" s="4"/>
      <c r="H118" s="4"/>
      <c r="I118" s="4"/>
      <c r="J118" s="4"/>
    </row>
    <row r="119" spans="1:10" x14ac:dyDescent="0.25">
      <c r="A119" s="4"/>
      <c r="B119" s="5" t="str">
        <f t="shared" si="1"/>
        <v/>
      </c>
      <c r="C119" s="6"/>
      <c r="D119" s="6"/>
      <c r="E119" s="4"/>
      <c r="F119" s="4"/>
      <c r="G119" s="4"/>
      <c r="H119" s="4"/>
      <c r="I119" s="4"/>
      <c r="J119" s="4"/>
    </row>
    <row r="120" spans="1:10" x14ac:dyDescent="0.25">
      <c r="A120" s="4"/>
      <c r="B120" s="5" t="str">
        <f t="shared" si="1"/>
        <v/>
      </c>
      <c r="C120" s="6"/>
      <c r="D120" s="6"/>
      <c r="E120" s="4"/>
      <c r="F120" s="4"/>
      <c r="G120" s="4"/>
      <c r="H120" s="4"/>
      <c r="I120" s="4"/>
      <c r="J120" s="4"/>
    </row>
    <row r="121" spans="1:10" x14ac:dyDescent="0.25">
      <c r="A121" s="4"/>
      <c r="B121" s="5" t="str">
        <f t="shared" si="1"/>
        <v/>
      </c>
      <c r="C121" s="6"/>
      <c r="D121" s="6"/>
      <c r="E121" s="4"/>
      <c r="F121" s="4"/>
      <c r="G121" s="4"/>
      <c r="H121" s="4"/>
      <c r="I121" s="4"/>
      <c r="J121" s="4"/>
    </row>
    <row r="122" spans="1:10" x14ac:dyDescent="0.25">
      <c r="A122" s="4"/>
      <c r="B122" s="5" t="str">
        <f t="shared" si="1"/>
        <v/>
      </c>
      <c r="C122" s="6"/>
      <c r="D122" s="6"/>
      <c r="E122" s="4"/>
      <c r="F122" s="4"/>
      <c r="G122" s="4"/>
      <c r="H122" s="4"/>
      <c r="I122" s="4"/>
      <c r="J122" s="4"/>
    </row>
    <row r="123" spans="1:10" x14ac:dyDescent="0.25">
      <c r="A123" s="4"/>
      <c r="B123" s="5" t="str">
        <f t="shared" si="1"/>
        <v/>
      </c>
      <c r="C123" s="6"/>
      <c r="D123" s="6"/>
      <c r="E123" s="4"/>
      <c r="F123" s="4"/>
      <c r="G123" s="4"/>
      <c r="H123" s="4"/>
      <c r="I123" s="4"/>
      <c r="J123" s="4"/>
    </row>
    <row r="124" spans="1:10" x14ac:dyDescent="0.25">
      <c r="A124" s="4"/>
      <c r="B124" s="5" t="str">
        <f t="shared" si="1"/>
        <v/>
      </c>
      <c r="C124" s="6"/>
      <c r="D124" s="6"/>
      <c r="E124" s="4"/>
      <c r="F124" s="4"/>
      <c r="G124" s="4"/>
      <c r="H124" s="4"/>
      <c r="I124" s="4"/>
      <c r="J124" s="4"/>
    </row>
    <row r="125" spans="1:10" x14ac:dyDescent="0.25">
      <c r="A125" s="4"/>
      <c r="B125" s="5" t="str">
        <f t="shared" si="1"/>
        <v/>
      </c>
      <c r="C125" s="6"/>
      <c r="D125" s="6"/>
      <c r="E125" s="4"/>
      <c r="F125" s="4"/>
      <c r="G125" s="4"/>
      <c r="H125" s="4"/>
      <c r="I125" s="4"/>
      <c r="J125" s="4"/>
    </row>
    <row r="126" spans="1:10" x14ac:dyDescent="0.25">
      <c r="A126" s="4"/>
      <c r="B126" s="5" t="str">
        <f t="shared" si="1"/>
        <v/>
      </c>
      <c r="C126" s="6"/>
      <c r="D126" s="6"/>
      <c r="E126" s="4"/>
      <c r="F126" s="4"/>
      <c r="G126" s="4"/>
      <c r="H126" s="4"/>
      <c r="I126" s="4"/>
      <c r="J126" s="4"/>
    </row>
    <row r="127" spans="1:10" x14ac:dyDescent="0.25">
      <c r="A127" s="4"/>
      <c r="B127" s="5" t="str">
        <f t="shared" si="1"/>
        <v/>
      </c>
      <c r="C127" s="6"/>
      <c r="D127" s="6"/>
      <c r="E127" s="4"/>
      <c r="F127" s="4"/>
      <c r="G127" s="4"/>
      <c r="H127" s="4"/>
      <c r="I127" s="4"/>
      <c r="J127" s="4"/>
    </row>
    <row r="128" spans="1:10" x14ac:dyDescent="0.25">
      <c r="A128" s="4"/>
      <c r="B128" s="5" t="str">
        <f t="shared" si="1"/>
        <v/>
      </c>
      <c r="C128" s="6"/>
      <c r="D128" s="6"/>
      <c r="E128" s="4"/>
      <c r="F128" s="4"/>
      <c r="G128" s="4"/>
      <c r="H128" s="4"/>
      <c r="I128" s="4"/>
      <c r="J128" s="4"/>
    </row>
    <row r="129" spans="1:10" x14ac:dyDescent="0.25">
      <c r="A129" s="4"/>
      <c r="B129" s="5" t="str">
        <f t="shared" si="1"/>
        <v/>
      </c>
      <c r="C129" s="6"/>
      <c r="D129" s="6"/>
      <c r="E129" s="4"/>
      <c r="F129" s="4"/>
      <c r="G129" s="4"/>
      <c r="H129" s="4"/>
      <c r="I129" s="4"/>
      <c r="J129" s="4"/>
    </row>
    <row r="130" spans="1:10" x14ac:dyDescent="0.25">
      <c r="A130" s="4"/>
      <c r="B130" s="5" t="str">
        <f t="shared" ref="B130:B193" si="2">IF($A130="","",IFERROR(INDEX(AccountCode,MATCH($A130,AccountName,0)),IFERROR(INDEX(AccountCode,MATCH($A130,AccountCode,0)),"NOT FOUND")))</f>
        <v/>
      </c>
      <c r="C130" s="6"/>
      <c r="D130" s="6"/>
      <c r="E130" s="4"/>
      <c r="F130" s="4"/>
      <c r="G130" s="4"/>
      <c r="H130" s="4"/>
      <c r="I130" s="4"/>
      <c r="J130" s="4"/>
    </row>
    <row r="131" spans="1:10" x14ac:dyDescent="0.25">
      <c r="A131" s="4"/>
      <c r="B131" s="5" t="str">
        <f t="shared" si="2"/>
        <v/>
      </c>
      <c r="C131" s="6"/>
      <c r="D131" s="6"/>
      <c r="E131" s="4"/>
      <c r="F131" s="4"/>
      <c r="G131" s="4"/>
      <c r="H131" s="4"/>
      <c r="I131" s="4"/>
      <c r="J131" s="4"/>
    </row>
    <row r="132" spans="1:10" x14ac:dyDescent="0.25">
      <c r="A132" s="4"/>
      <c r="B132" s="5" t="str">
        <f t="shared" si="2"/>
        <v/>
      </c>
      <c r="C132" s="6"/>
      <c r="D132" s="6"/>
      <c r="E132" s="4"/>
      <c r="F132" s="4"/>
      <c r="G132" s="4"/>
      <c r="H132" s="4"/>
      <c r="I132" s="4"/>
      <c r="J132" s="4"/>
    </row>
    <row r="133" spans="1:10" x14ac:dyDescent="0.25">
      <c r="A133" s="4"/>
      <c r="B133" s="5" t="str">
        <f t="shared" si="2"/>
        <v/>
      </c>
      <c r="C133" s="6"/>
      <c r="D133" s="6"/>
      <c r="E133" s="4"/>
      <c r="F133" s="4"/>
      <c r="G133" s="4"/>
      <c r="H133" s="4"/>
      <c r="I133" s="4"/>
      <c r="J133" s="4"/>
    </row>
    <row r="134" spans="1:10" x14ac:dyDescent="0.25">
      <c r="A134" s="4"/>
      <c r="B134" s="5" t="str">
        <f t="shared" si="2"/>
        <v/>
      </c>
      <c r="C134" s="6"/>
      <c r="D134" s="6"/>
      <c r="E134" s="4"/>
      <c r="F134" s="4"/>
      <c r="G134" s="4"/>
      <c r="H134" s="4"/>
      <c r="I134" s="4"/>
      <c r="J134" s="4"/>
    </row>
    <row r="135" spans="1:10" x14ac:dyDescent="0.25">
      <c r="A135" s="4"/>
      <c r="B135" s="5" t="str">
        <f t="shared" si="2"/>
        <v/>
      </c>
      <c r="C135" s="6"/>
      <c r="D135" s="6"/>
      <c r="E135" s="4"/>
      <c r="F135" s="4"/>
      <c r="G135" s="4"/>
      <c r="H135" s="4"/>
      <c r="I135" s="4"/>
      <c r="J135" s="4"/>
    </row>
    <row r="136" spans="1:10" x14ac:dyDescent="0.25">
      <c r="A136" s="4"/>
      <c r="B136" s="5" t="str">
        <f t="shared" si="2"/>
        <v/>
      </c>
      <c r="C136" s="6"/>
      <c r="D136" s="6"/>
      <c r="E136" s="4"/>
      <c r="F136" s="4"/>
      <c r="G136" s="4"/>
      <c r="H136" s="4"/>
      <c r="I136" s="4"/>
      <c r="J136" s="4"/>
    </row>
    <row r="137" spans="1:10" x14ac:dyDescent="0.25">
      <c r="A137" s="4"/>
      <c r="B137" s="5" t="str">
        <f t="shared" si="2"/>
        <v/>
      </c>
      <c r="C137" s="6"/>
      <c r="D137" s="6"/>
      <c r="E137" s="4"/>
      <c r="F137" s="4"/>
      <c r="G137" s="4"/>
      <c r="H137" s="4"/>
      <c r="I137" s="4"/>
      <c r="J137" s="4"/>
    </row>
    <row r="138" spans="1:10" x14ac:dyDescent="0.25">
      <c r="A138" s="4"/>
      <c r="B138" s="5" t="str">
        <f t="shared" si="2"/>
        <v/>
      </c>
      <c r="C138" s="6"/>
      <c r="D138" s="6"/>
      <c r="E138" s="4"/>
      <c r="F138" s="4"/>
      <c r="G138" s="4"/>
      <c r="H138" s="4"/>
      <c r="I138" s="4"/>
      <c r="J138" s="4"/>
    </row>
    <row r="139" spans="1:10" x14ac:dyDescent="0.25">
      <c r="A139" s="4"/>
      <c r="B139" s="5" t="str">
        <f t="shared" si="2"/>
        <v/>
      </c>
      <c r="C139" s="6"/>
      <c r="D139" s="6"/>
      <c r="E139" s="4"/>
      <c r="F139" s="4"/>
      <c r="G139" s="4"/>
      <c r="H139" s="4"/>
      <c r="I139" s="4"/>
      <c r="J139" s="4"/>
    </row>
    <row r="140" spans="1:10" x14ac:dyDescent="0.25">
      <c r="A140" s="4"/>
      <c r="B140" s="5" t="str">
        <f t="shared" si="2"/>
        <v/>
      </c>
      <c r="C140" s="6"/>
      <c r="D140" s="6"/>
      <c r="E140" s="4"/>
      <c r="F140" s="4"/>
      <c r="G140" s="4"/>
      <c r="H140" s="4"/>
      <c r="I140" s="4"/>
      <c r="J140" s="4"/>
    </row>
    <row r="141" spans="1:10" x14ac:dyDescent="0.25">
      <c r="A141" s="4"/>
      <c r="B141" s="5" t="str">
        <f t="shared" si="2"/>
        <v/>
      </c>
      <c r="C141" s="6"/>
      <c r="D141" s="6"/>
      <c r="E141" s="4"/>
      <c r="F141" s="4"/>
      <c r="G141" s="4"/>
      <c r="H141" s="4"/>
      <c r="I141" s="4"/>
      <c r="J141" s="4"/>
    </row>
    <row r="142" spans="1:10" x14ac:dyDescent="0.25">
      <c r="A142" s="4"/>
      <c r="B142" s="5" t="str">
        <f t="shared" si="2"/>
        <v/>
      </c>
      <c r="C142" s="6"/>
      <c r="D142" s="6"/>
      <c r="E142" s="4"/>
      <c r="F142" s="4"/>
      <c r="G142" s="4"/>
      <c r="H142" s="4"/>
      <c r="I142" s="4"/>
      <c r="J142" s="4"/>
    </row>
    <row r="143" spans="1:10" x14ac:dyDescent="0.25">
      <c r="A143" s="4"/>
      <c r="B143" s="5" t="str">
        <f t="shared" si="2"/>
        <v/>
      </c>
      <c r="C143" s="6"/>
      <c r="D143" s="6"/>
      <c r="E143" s="4"/>
      <c r="F143" s="4"/>
      <c r="G143" s="4"/>
      <c r="H143" s="4"/>
      <c r="I143" s="4"/>
      <c r="J143" s="4"/>
    </row>
    <row r="144" spans="1:10" x14ac:dyDescent="0.25">
      <c r="A144" s="4"/>
      <c r="B144" s="5" t="str">
        <f t="shared" si="2"/>
        <v/>
      </c>
      <c r="C144" s="6"/>
      <c r="D144" s="6"/>
      <c r="E144" s="4"/>
      <c r="F144" s="4"/>
      <c r="G144" s="4"/>
      <c r="H144" s="4"/>
      <c r="I144" s="4"/>
      <c r="J144" s="4"/>
    </row>
    <row r="145" spans="1:10" x14ac:dyDescent="0.25">
      <c r="A145" s="4"/>
      <c r="B145" s="5" t="str">
        <f t="shared" si="2"/>
        <v/>
      </c>
      <c r="C145" s="6"/>
      <c r="D145" s="6"/>
      <c r="E145" s="4"/>
      <c r="F145" s="4"/>
      <c r="G145" s="4"/>
      <c r="H145" s="4"/>
      <c r="I145" s="4"/>
      <c r="J145" s="4"/>
    </row>
    <row r="146" spans="1:10" x14ac:dyDescent="0.25">
      <c r="A146" s="4"/>
      <c r="B146" s="5" t="str">
        <f t="shared" si="2"/>
        <v/>
      </c>
      <c r="C146" s="6"/>
      <c r="D146" s="6"/>
      <c r="E146" s="4"/>
      <c r="F146" s="4"/>
      <c r="G146" s="4"/>
      <c r="H146" s="4"/>
      <c r="I146" s="4"/>
      <c r="J146" s="4"/>
    </row>
    <row r="147" spans="1:10" x14ac:dyDescent="0.25">
      <c r="A147" s="4"/>
      <c r="B147" s="5" t="str">
        <f t="shared" si="2"/>
        <v/>
      </c>
      <c r="C147" s="6"/>
      <c r="D147" s="6"/>
      <c r="E147" s="4"/>
      <c r="F147" s="4"/>
      <c r="G147" s="4"/>
      <c r="H147" s="4"/>
      <c r="I147" s="4"/>
      <c r="J147" s="4"/>
    </row>
    <row r="148" spans="1:10" x14ac:dyDescent="0.25">
      <c r="A148" s="4"/>
      <c r="B148" s="5" t="str">
        <f t="shared" si="2"/>
        <v/>
      </c>
      <c r="C148" s="6"/>
      <c r="D148" s="6"/>
      <c r="E148" s="4"/>
      <c r="F148" s="4"/>
      <c r="G148" s="4"/>
      <c r="H148" s="4"/>
      <c r="I148" s="4"/>
      <c r="J148" s="4"/>
    </row>
    <row r="149" spans="1:10" x14ac:dyDescent="0.25">
      <c r="A149" s="4"/>
      <c r="B149" s="5" t="str">
        <f t="shared" si="2"/>
        <v/>
      </c>
      <c r="C149" s="6"/>
      <c r="D149" s="6"/>
      <c r="E149" s="4"/>
      <c r="F149" s="4"/>
      <c r="G149" s="4"/>
      <c r="H149" s="4"/>
      <c r="I149" s="4"/>
      <c r="J149" s="4"/>
    </row>
    <row r="150" spans="1:10" x14ac:dyDescent="0.25">
      <c r="A150" s="4"/>
      <c r="B150" s="5" t="str">
        <f t="shared" si="2"/>
        <v/>
      </c>
      <c r="C150" s="6"/>
      <c r="D150" s="6"/>
      <c r="E150" s="4"/>
      <c r="F150" s="4"/>
      <c r="G150" s="4"/>
      <c r="H150" s="4"/>
      <c r="I150" s="4"/>
      <c r="J150" s="4"/>
    </row>
    <row r="151" spans="1:10" x14ac:dyDescent="0.25">
      <c r="A151" s="4"/>
      <c r="B151" s="5" t="str">
        <f t="shared" si="2"/>
        <v/>
      </c>
      <c r="C151" s="6"/>
      <c r="D151" s="6"/>
      <c r="E151" s="4"/>
      <c r="F151" s="4"/>
      <c r="G151" s="4"/>
      <c r="H151" s="4"/>
      <c r="I151" s="4"/>
      <c r="J151" s="4"/>
    </row>
    <row r="152" spans="1:10" x14ac:dyDescent="0.25">
      <c r="A152" s="4"/>
      <c r="B152" s="5" t="str">
        <f t="shared" si="2"/>
        <v/>
      </c>
      <c r="C152" s="6"/>
      <c r="D152" s="6"/>
      <c r="E152" s="4"/>
      <c r="F152" s="4"/>
      <c r="G152" s="4"/>
      <c r="H152" s="4"/>
      <c r="I152" s="4"/>
      <c r="J152" s="4"/>
    </row>
    <row r="153" spans="1:10" x14ac:dyDescent="0.25">
      <c r="A153" s="4"/>
      <c r="B153" s="5" t="str">
        <f t="shared" si="2"/>
        <v/>
      </c>
      <c r="C153" s="6"/>
      <c r="D153" s="6"/>
      <c r="E153" s="4"/>
      <c r="F153" s="4"/>
      <c r="G153" s="4"/>
      <c r="H153" s="4"/>
      <c r="I153" s="4"/>
      <c r="J153" s="4"/>
    </row>
    <row r="154" spans="1:10" x14ac:dyDescent="0.25">
      <c r="A154" s="4"/>
      <c r="B154" s="5" t="str">
        <f t="shared" si="2"/>
        <v/>
      </c>
      <c r="C154" s="6"/>
      <c r="D154" s="6"/>
      <c r="E154" s="4"/>
      <c r="F154" s="4"/>
      <c r="G154" s="4"/>
      <c r="H154" s="4"/>
      <c r="I154" s="4"/>
      <c r="J154" s="4"/>
    </row>
    <row r="155" spans="1:10" x14ac:dyDescent="0.25">
      <c r="A155" s="4"/>
      <c r="B155" s="5" t="str">
        <f t="shared" si="2"/>
        <v/>
      </c>
      <c r="C155" s="6"/>
      <c r="D155" s="6"/>
      <c r="E155" s="4"/>
      <c r="F155" s="4"/>
      <c r="G155" s="4"/>
      <c r="H155" s="4"/>
      <c r="I155" s="4"/>
      <c r="J155" s="4"/>
    </row>
    <row r="156" spans="1:10" x14ac:dyDescent="0.25">
      <c r="A156" s="4"/>
      <c r="B156" s="5" t="str">
        <f t="shared" si="2"/>
        <v/>
      </c>
      <c r="C156" s="6"/>
      <c r="D156" s="6"/>
      <c r="E156" s="4"/>
      <c r="F156" s="4"/>
      <c r="G156" s="4"/>
      <c r="H156" s="4"/>
      <c r="I156" s="4"/>
      <c r="J156" s="4"/>
    </row>
    <row r="157" spans="1:10" x14ac:dyDescent="0.25">
      <c r="A157" s="4"/>
      <c r="B157" s="5" t="str">
        <f t="shared" si="2"/>
        <v/>
      </c>
      <c r="C157" s="6"/>
      <c r="D157" s="6"/>
      <c r="E157" s="4"/>
      <c r="F157" s="4"/>
      <c r="G157" s="4"/>
      <c r="H157" s="4"/>
      <c r="I157" s="4"/>
      <c r="J157" s="4"/>
    </row>
    <row r="158" spans="1:10" x14ac:dyDescent="0.25">
      <c r="A158" s="4"/>
      <c r="B158" s="5" t="str">
        <f t="shared" si="2"/>
        <v/>
      </c>
      <c r="C158" s="6"/>
      <c r="D158" s="6"/>
      <c r="E158" s="4"/>
      <c r="F158" s="4"/>
      <c r="G158" s="4"/>
      <c r="H158" s="4"/>
      <c r="I158" s="4"/>
      <c r="J158" s="4"/>
    </row>
    <row r="159" spans="1:10" x14ac:dyDescent="0.25">
      <c r="A159" s="4"/>
      <c r="B159" s="5" t="str">
        <f t="shared" si="2"/>
        <v/>
      </c>
      <c r="C159" s="6"/>
      <c r="D159" s="6"/>
      <c r="E159" s="4"/>
      <c r="F159" s="4"/>
      <c r="G159" s="4"/>
      <c r="H159" s="4"/>
      <c r="I159" s="4"/>
      <c r="J159" s="4"/>
    </row>
    <row r="160" spans="1:10" x14ac:dyDescent="0.25">
      <c r="A160" s="4"/>
      <c r="B160" s="5" t="str">
        <f t="shared" si="2"/>
        <v/>
      </c>
      <c r="C160" s="6"/>
      <c r="D160" s="6"/>
      <c r="E160" s="4"/>
      <c r="F160" s="4"/>
      <c r="G160" s="4"/>
      <c r="H160" s="4"/>
      <c r="I160" s="4"/>
      <c r="J160" s="4"/>
    </row>
    <row r="161" spans="1:10" x14ac:dyDescent="0.25">
      <c r="A161" s="4"/>
      <c r="B161" s="5" t="str">
        <f t="shared" si="2"/>
        <v/>
      </c>
      <c r="C161" s="6"/>
      <c r="D161" s="6"/>
      <c r="E161" s="4"/>
      <c r="F161" s="4"/>
      <c r="G161" s="4"/>
      <c r="H161" s="4"/>
      <c r="I161" s="4"/>
      <c r="J161" s="4"/>
    </row>
    <row r="162" spans="1:10" x14ac:dyDescent="0.25">
      <c r="A162" s="4"/>
      <c r="B162" s="5" t="str">
        <f t="shared" si="2"/>
        <v/>
      </c>
      <c r="C162" s="6"/>
      <c r="D162" s="6"/>
      <c r="E162" s="4"/>
      <c r="F162" s="4"/>
      <c r="G162" s="4"/>
      <c r="H162" s="4"/>
      <c r="I162" s="4"/>
      <c r="J162" s="4"/>
    </row>
    <row r="163" spans="1:10" x14ac:dyDescent="0.25">
      <c r="A163" s="4"/>
      <c r="B163" s="5" t="str">
        <f t="shared" si="2"/>
        <v/>
      </c>
      <c r="C163" s="6"/>
      <c r="D163" s="6"/>
      <c r="E163" s="4"/>
      <c r="F163" s="4"/>
      <c r="G163" s="4"/>
      <c r="H163" s="4"/>
      <c r="I163" s="4"/>
      <c r="J163" s="4"/>
    </row>
    <row r="164" spans="1:10" x14ac:dyDescent="0.25">
      <c r="A164" s="4"/>
      <c r="B164" s="5" t="str">
        <f t="shared" si="2"/>
        <v/>
      </c>
      <c r="C164" s="6"/>
      <c r="D164" s="6"/>
      <c r="E164" s="4"/>
      <c r="F164" s="4"/>
      <c r="G164" s="4"/>
      <c r="H164" s="4"/>
      <c r="I164" s="4"/>
      <c r="J164" s="4"/>
    </row>
    <row r="165" spans="1:10" x14ac:dyDescent="0.25">
      <c r="A165" s="4"/>
      <c r="B165" s="5" t="str">
        <f t="shared" si="2"/>
        <v/>
      </c>
      <c r="C165" s="6"/>
      <c r="D165" s="6"/>
      <c r="E165" s="4"/>
      <c r="F165" s="4"/>
      <c r="G165" s="4"/>
      <c r="H165" s="4"/>
      <c r="I165" s="4"/>
      <c r="J165" s="4"/>
    </row>
    <row r="166" spans="1:10" x14ac:dyDescent="0.25">
      <c r="A166" s="4"/>
      <c r="B166" s="5" t="str">
        <f t="shared" si="2"/>
        <v/>
      </c>
      <c r="C166" s="6"/>
      <c r="D166" s="6"/>
      <c r="E166" s="4"/>
      <c r="F166" s="4"/>
      <c r="G166" s="4"/>
      <c r="H166" s="4"/>
      <c r="I166" s="4"/>
      <c r="J166" s="4"/>
    </row>
    <row r="167" spans="1:10" x14ac:dyDescent="0.25">
      <c r="A167" s="4"/>
      <c r="B167" s="5" t="str">
        <f t="shared" si="2"/>
        <v/>
      </c>
      <c r="C167" s="6"/>
      <c r="D167" s="6"/>
      <c r="E167" s="4"/>
      <c r="F167" s="4"/>
      <c r="G167" s="4"/>
      <c r="H167" s="4"/>
      <c r="I167" s="4"/>
      <c r="J167" s="4"/>
    </row>
    <row r="168" spans="1:10" x14ac:dyDescent="0.25">
      <c r="A168" s="4"/>
      <c r="B168" s="5" t="str">
        <f t="shared" si="2"/>
        <v/>
      </c>
      <c r="C168" s="6"/>
      <c r="D168" s="6"/>
      <c r="E168" s="4"/>
      <c r="F168" s="4"/>
      <c r="G168" s="4"/>
      <c r="H168" s="4"/>
      <c r="I168" s="4"/>
      <c r="J168" s="4"/>
    </row>
    <row r="169" spans="1:10" x14ac:dyDescent="0.25">
      <c r="A169" s="4"/>
      <c r="B169" s="5" t="str">
        <f t="shared" si="2"/>
        <v/>
      </c>
      <c r="C169" s="6"/>
      <c r="D169" s="6"/>
      <c r="E169" s="4"/>
      <c r="F169" s="4"/>
      <c r="G169" s="4"/>
      <c r="H169" s="4"/>
      <c r="I169" s="4"/>
      <c r="J169" s="4"/>
    </row>
    <row r="170" spans="1:10" x14ac:dyDescent="0.25">
      <c r="A170" s="4"/>
      <c r="B170" s="5" t="str">
        <f t="shared" si="2"/>
        <v/>
      </c>
      <c r="C170" s="6"/>
      <c r="D170" s="6"/>
      <c r="E170" s="4"/>
      <c r="F170" s="4"/>
      <c r="G170" s="4"/>
      <c r="H170" s="4"/>
      <c r="I170" s="4"/>
      <c r="J170" s="4"/>
    </row>
    <row r="171" spans="1:10" x14ac:dyDescent="0.25">
      <c r="A171" s="4"/>
      <c r="B171" s="5" t="str">
        <f t="shared" si="2"/>
        <v/>
      </c>
      <c r="C171" s="6"/>
      <c r="D171" s="6"/>
      <c r="E171" s="4"/>
      <c r="F171" s="4"/>
      <c r="G171" s="4"/>
      <c r="H171" s="4"/>
      <c r="I171" s="4"/>
      <c r="J171" s="4"/>
    </row>
    <row r="172" spans="1:10" x14ac:dyDescent="0.25">
      <c r="A172" s="4"/>
      <c r="B172" s="5" t="str">
        <f t="shared" si="2"/>
        <v/>
      </c>
      <c r="C172" s="6"/>
      <c r="D172" s="6"/>
      <c r="E172" s="4"/>
      <c r="F172" s="4"/>
      <c r="G172" s="4"/>
      <c r="H172" s="4"/>
      <c r="I172" s="4"/>
      <c r="J172" s="4"/>
    </row>
    <row r="173" spans="1:10" x14ac:dyDescent="0.25">
      <c r="A173" s="4"/>
      <c r="B173" s="5" t="str">
        <f t="shared" si="2"/>
        <v/>
      </c>
      <c r="C173" s="6"/>
      <c r="D173" s="6"/>
      <c r="E173" s="4"/>
      <c r="F173" s="4"/>
      <c r="G173" s="4"/>
      <c r="H173" s="4"/>
      <c r="I173" s="4"/>
      <c r="J173" s="4"/>
    </row>
    <row r="174" spans="1:10" x14ac:dyDescent="0.25">
      <c r="A174" s="4"/>
      <c r="B174" s="5" t="str">
        <f t="shared" si="2"/>
        <v/>
      </c>
      <c r="C174" s="6"/>
      <c r="D174" s="6"/>
      <c r="E174" s="4"/>
      <c r="F174" s="4"/>
      <c r="G174" s="4"/>
      <c r="H174" s="4"/>
      <c r="I174" s="4"/>
      <c r="J174" s="4"/>
    </row>
    <row r="175" spans="1:10" x14ac:dyDescent="0.25">
      <c r="A175" s="4"/>
      <c r="B175" s="5" t="str">
        <f t="shared" si="2"/>
        <v/>
      </c>
      <c r="C175" s="6"/>
      <c r="D175" s="6"/>
      <c r="E175" s="4"/>
      <c r="F175" s="4"/>
      <c r="G175" s="4"/>
      <c r="H175" s="4"/>
      <c r="I175" s="4"/>
      <c r="J175" s="4"/>
    </row>
    <row r="176" spans="1:10" x14ac:dyDescent="0.25">
      <c r="A176" s="4"/>
      <c r="B176" s="5" t="str">
        <f t="shared" si="2"/>
        <v/>
      </c>
      <c r="C176" s="6"/>
      <c r="D176" s="6"/>
      <c r="E176" s="4"/>
      <c r="F176" s="4"/>
      <c r="G176" s="4"/>
      <c r="H176" s="4"/>
      <c r="I176" s="4"/>
      <c r="J176" s="4"/>
    </row>
    <row r="177" spans="1:10" x14ac:dyDescent="0.25">
      <c r="A177" s="4"/>
      <c r="B177" s="5" t="str">
        <f t="shared" si="2"/>
        <v/>
      </c>
      <c r="C177" s="6"/>
      <c r="D177" s="6"/>
      <c r="E177" s="4"/>
      <c r="F177" s="4"/>
      <c r="G177" s="4"/>
      <c r="H177" s="4"/>
      <c r="I177" s="4"/>
      <c r="J177" s="4"/>
    </row>
    <row r="178" spans="1:10" x14ac:dyDescent="0.25">
      <c r="A178" s="4"/>
      <c r="B178" s="5" t="str">
        <f t="shared" si="2"/>
        <v/>
      </c>
      <c r="C178" s="6"/>
      <c r="D178" s="6"/>
      <c r="E178" s="4"/>
      <c r="F178" s="4"/>
      <c r="G178" s="4"/>
      <c r="H178" s="4"/>
      <c r="I178" s="4"/>
      <c r="J178" s="4"/>
    </row>
    <row r="179" spans="1:10" x14ac:dyDescent="0.25">
      <c r="A179" s="4"/>
      <c r="B179" s="5" t="str">
        <f t="shared" si="2"/>
        <v/>
      </c>
      <c r="C179" s="6"/>
      <c r="D179" s="6"/>
      <c r="E179" s="4"/>
      <c r="F179" s="4"/>
      <c r="G179" s="4"/>
      <c r="H179" s="4"/>
      <c r="I179" s="4"/>
      <c r="J179" s="4"/>
    </row>
    <row r="180" spans="1:10" x14ac:dyDescent="0.25">
      <c r="A180" s="4"/>
      <c r="B180" s="5" t="str">
        <f t="shared" si="2"/>
        <v/>
      </c>
      <c r="C180" s="6"/>
      <c r="D180" s="6"/>
      <c r="E180" s="4"/>
      <c r="F180" s="4"/>
      <c r="G180" s="4"/>
      <c r="H180" s="4"/>
      <c r="I180" s="4"/>
      <c r="J180" s="4"/>
    </row>
    <row r="181" spans="1:10" x14ac:dyDescent="0.25">
      <c r="A181" s="4"/>
      <c r="B181" s="5" t="str">
        <f t="shared" si="2"/>
        <v/>
      </c>
      <c r="C181" s="6"/>
      <c r="D181" s="6"/>
      <c r="E181" s="4"/>
      <c r="F181" s="4"/>
      <c r="G181" s="4"/>
      <c r="H181" s="4"/>
      <c r="I181" s="4"/>
      <c r="J181" s="4"/>
    </row>
    <row r="182" spans="1:10" x14ac:dyDescent="0.25">
      <c r="A182" s="4"/>
      <c r="B182" s="5" t="str">
        <f t="shared" si="2"/>
        <v/>
      </c>
      <c r="C182" s="6"/>
      <c r="D182" s="6"/>
      <c r="E182" s="4"/>
      <c r="F182" s="4"/>
      <c r="G182" s="4"/>
      <c r="H182" s="4"/>
      <c r="I182" s="4"/>
      <c r="J182" s="4"/>
    </row>
    <row r="183" spans="1:10" x14ac:dyDescent="0.25">
      <c r="A183" s="4"/>
      <c r="B183" s="5" t="str">
        <f t="shared" si="2"/>
        <v/>
      </c>
      <c r="C183" s="6"/>
      <c r="D183" s="6"/>
      <c r="E183" s="4"/>
      <c r="F183" s="4"/>
      <c r="G183" s="4"/>
      <c r="H183" s="4"/>
      <c r="I183" s="4"/>
      <c r="J183" s="4"/>
    </row>
    <row r="184" spans="1:10" x14ac:dyDescent="0.25">
      <c r="A184" s="4"/>
      <c r="B184" s="5" t="str">
        <f t="shared" si="2"/>
        <v/>
      </c>
      <c r="C184" s="6"/>
      <c r="D184" s="6"/>
      <c r="E184" s="4"/>
      <c r="F184" s="4"/>
      <c r="G184" s="4"/>
      <c r="H184" s="4"/>
      <c r="I184" s="4"/>
      <c r="J184" s="4"/>
    </row>
    <row r="185" spans="1:10" x14ac:dyDescent="0.25">
      <c r="A185" s="4"/>
      <c r="B185" s="5" t="str">
        <f t="shared" si="2"/>
        <v/>
      </c>
      <c r="C185" s="6"/>
      <c r="D185" s="6"/>
      <c r="E185" s="4"/>
      <c r="F185" s="4"/>
      <c r="G185" s="4"/>
      <c r="H185" s="4"/>
      <c r="I185" s="4"/>
      <c r="J185" s="4"/>
    </row>
    <row r="186" spans="1:10" x14ac:dyDescent="0.25">
      <c r="A186" s="4"/>
      <c r="B186" s="5" t="str">
        <f t="shared" si="2"/>
        <v/>
      </c>
      <c r="C186" s="6"/>
      <c r="D186" s="6"/>
      <c r="E186" s="4"/>
      <c r="F186" s="4"/>
      <c r="G186" s="4"/>
      <c r="H186" s="4"/>
      <c r="I186" s="4"/>
      <c r="J186" s="4"/>
    </row>
    <row r="187" spans="1:10" x14ac:dyDescent="0.25">
      <c r="A187" s="4"/>
      <c r="B187" s="5" t="str">
        <f t="shared" si="2"/>
        <v/>
      </c>
      <c r="C187" s="6"/>
      <c r="D187" s="6"/>
      <c r="E187" s="4"/>
      <c r="F187" s="4"/>
      <c r="G187" s="4"/>
      <c r="H187" s="4"/>
      <c r="I187" s="4"/>
      <c r="J187" s="4"/>
    </row>
    <row r="188" spans="1:10" x14ac:dyDescent="0.25">
      <c r="A188" s="4"/>
      <c r="B188" s="5" t="str">
        <f t="shared" si="2"/>
        <v/>
      </c>
      <c r="C188" s="6"/>
      <c r="D188" s="6"/>
      <c r="E188" s="4"/>
      <c r="F188" s="4"/>
      <c r="G188" s="4"/>
      <c r="H188" s="4"/>
      <c r="I188" s="4"/>
      <c r="J188" s="4"/>
    </row>
    <row r="189" spans="1:10" x14ac:dyDescent="0.25">
      <c r="A189" s="4"/>
      <c r="B189" s="5" t="str">
        <f t="shared" si="2"/>
        <v/>
      </c>
      <c r="C189" s="6"/>
      <c r="D189" s="6"/>
      <c r="E189" s="4"/>
      <c r="F189" s="4"/>
      <c r="G189" s="4"/>
      <c r="H189" s="4"/>
      <c r="I189" s="4"/>
      <c r="J189" s="4"/>
    </row>
    <row r="190" spans="1:10" x14ac:dyDescent="0.25">
      <c r="A190" s="4"/>
      <c r="B190" s="5" t="str">
        <f t="shared" si="2"/>
        <v/>
      </c>
      <c r="C190" s="6"/>
      <c r="D190" s="6"/>
      <c r="E190" s="4"/>
      <c r="F190" s="4"/>
      <c r="G190" s="4"/>
      <c r="H190" s="4"/>
      <c r="I190" s="4"/>
      <c r="J190" s="4"/>
    </row>
    <row r="191" spans="1:10" x14ac:dyDescent="0.25">
      <c r="A191" s="4"/>
      <c r="B191" s="5" t="str">
        <f t="shared" si="2"/>
        <v/>
      </c>
      <c r="C191" s="6"/>
      <c r="D191" s="6"/>
      <c r="E191" s="4"/>
      <c r="F191" s="4"/>
      <c r="G191" s="4"/>
      <c r="H191" s="4"/>
      <c r="I191" s="4"/>
      <c r="J191" s="4"/>
    </row>
    <row r="192" spans="1:10" x14ac:dyDescent="0.25">
      <c r="A192" s="4"/>
      <c r="B192" s="5" t="str">
        <f t="shared" si="2"/>
        <v/>
      </c>
      <c r="C192" s="6"/>
      <c r="D192" s="6"/>
      <c r="E192" s="4"/>
      <c r="F192" s="4"/>
      <c r="G192" s="4"/>
      <c r="H192" s="4"/>
      <c r="I192" s="4"/>
      <c r="J192" s="4"/>
    </row>
    <row r="193" spans="1:10" x14ac:dyDescent="0.25">
      <c r="A193" s="4"/>
      <c r="B193" s="5" t="str">
        <f t="shared" si="2"/>
        <v/>
      </c>
      <c r="C193" s="6"/>
      <c r="D193" s="6"/>
      <c r="E193" s="4"/>
      <c r="F193" s="4"/>
      <c r="G193" s="4"/>
      <c r="H193" s="4"/>
      <c r="I193" s="4"/>
      <c r="J193" s="4"/>
    </row>
    <row r="194" spans="1:10" x14ac:dyDescent="0.25">
      <c r="A194" s="4"/>
      <c r="B194" s="5" t="str">
        <f t="shared" ref="B194:B257" si="3">IF($A194="","",IFERROR(INDEX(AccountCode,MATCH($A194,AccountName,0)),IFERROR(INDEX(AccountCode,MATCH($A194,AccountCode,0)),"NOT FOUND")))</f>
        <v/>
      </c>
      <c r="C194" s="6"/>
      <c r="D194" s="6"/>
      <c r="E194" s="4"/>
      <c r="F194" s="4"/>
      <c r="G194" s="4"/>
      <c r="H194" s="4"/>
      <c r="I194" s="4"/>
      <c r="J194" s="4"/>
    </row>
    <row r="195" spans="1:10" x14ac:dyDescent="0.25">
      <c r="A195" s="4"/>
      <c r="B195" s="5" t="str">
        <f t="shared" si="3"/>
        <v/>
      </c>
      <c r="C195" s="6"/>
      <c r="D195" s="6"/>
      <c r="E195" s="4"/>
      <c r="F195" s="4"/>
      <c r="G195" s="4"/>
      <c r="H195" s="4"/>
      <c r="I195" s="4"/>
      <c r="J195" s="4"/>
    </row>
    <row r="196" spans="1:10" x14ac:dyDescent="0.25">
      <c r="A196" s="4"/>
      <c r="B196" s="5" t="str">
        <f t="shared" si="3"/>
        <v/>
      </c>
      <c r="C196" s="6"/>
      <c r="D196" s="6"/>
      <c r="E196" s="4"/>
      <c r="F196" s="4"/>
      <c r="G196" s="4"/>
      <c r="H196" s="4"/>
      <c r="I196" s="4"/>
      <c r="J196" s="4"/>
    </row>
    <row r="197" spans="1:10" x14ac:dyDescent="0.25">
      <c r="A197" s="4"/>
      <c r="B197" s="5" t="str">
        <f t="shared" si="3"/>
        <v/>
      </c>
      <c r="C197" s="6"/>
      <c r="D197" s="6"/>
      <c r="E197" s="4"/>
      <c r="F197" s="4"/>
      <c r="G197" s="4"/>
      <c r="H197" s="4"/>
      <c r="I197" s="4"/>
      <c r="J197" s="4"/>
    </row>
    <row r="198" spans="1:10" x14ac:dyDescent="0.25">
      <c r="A198" s="4"/>
      <c r="B198" s="5" t="str">
        <f t="shared" si="3"/>
        <v/>
      </c>
      <c r="C198" s="6"/>
      <c r="D198" s="6"/>
      <c r="E198" s="4"/>
      <c r="F198" s="4"/>
      <c r="G198" s="4"/>
      <c r="H198" s="4"/>
      <c r="I198" s="4"/>
      <c r="J198" s="4"/>
    </row>
    <row r="199" spans="1:10" x14ac:dyDescent="0.25">
      <c r="A199" s="4"/>
      <c r="B199" s="5" t="str">
        <f t="shared" si="3"/>
        <v/>
      </c>
      <c r="C199" s="6"/>
      <c r="D199" s="6"/>
      <c r="E199" s="4"/>
      <c r="F199" s="4"/>
      <c r="G199" s="4"/>
      <c r="H199" s="4"/>
      <c r="I199" s="4"/>
      <c r="J199" s="4"/>
    </row>
    <row r="200" spans="1:10" x14ac:dyDescent="0.25">
      <c r="A200" s="4"/>
      <c r="B200" s="5" t="str">
        <f t="shared" si="3"/>
        <v/>
      </c>
      <c r="C200" s="6"/>
      <c r="D200" s="6"/>
      <c r="E200" s="4"/>
      <c r="F200" s="4"/>
      <c r="G200" s="4"/>
      <c r="H200" s="4"/>
      <c r="I200" s="4"/>
      <c r="J200" s="4"/>
    </row>
    <row r="201" spans="1:10" x14ac:dyDescent="0.25">
      <c r="A201" s="4"/>
      <c r="B201" s="5" t="str">
        <f t="shared" si="3"/>
        <v/>
      </c>
      <c r="C201" s="6"/>
      <c r="D201" s="6"/>
      <c r="E201" s="4"/>
      <c r="F201" s="4"/>
      <c r="G201" s="4"/>
      <c r="H201" s="4"/>
      <c r="I201" s="4"/>
      <c r="J201" s="4"/>
    </row>
    <row r="202" spans="1:10" x14ac:dyDescent="0.25">
      <c r="A202" s="4"/>
      <c r="B202" s="5" t="str">
        <f t="shared" si="3"/>
        <v/>
      </c>
      <c r="C202" s="6"/>
      <c r="D202" s="6"/>
      <c r="E202" s="4"/>
      <c r="F202" s="4"/>
      <c r="G202" s="4"/>
      <c r="H202" s="4"/>
      <c r="I202" s="4"/>
      <c r="J202" s="4"/>
    </row>
    <row r="203" spans="1:10" x14ac:dyDescent="0.25">
      <c r="A203" s="4"/>
      <c r="B203" s="5" t="str">
        <f t="shared" si="3"/>
        <v/>
      </c>
      <c r="C203" s="6"/>
      <c r="D203" s="6"/>
      <c r="E203" s="4"/>
      <c r="F203" s="4"/>
      <c r="G203" s="4"/>
      <c r="H203" s="4"/>
      <c r="I203" s="4"/>
      <c r="J203" s="4"/>
    </row>
    <row r="204" spans="1:10" x14ac:dyDescent="0.25">
      <c r="A204" s="4"/>
      <c r="B204" s="5" t="str">
        <f t="shared" si="3"/>
        <v/>
      </c>
      <c r="C204" s="6"/>
      <c r="D204" s="6"/>
      <c r="E204" s="4"/>
      <c r="F204" s="4"/>
      <c r="G204" s="4"/>
      <c r="H204" s="4"/>
      <c r="I204" s="4"/>
      <c r="J204" s="4"/>
    </row>
    <row r="205" spans="1:10" x14ac:dyDescent="0.25">
      <c r="A205" s="4"/>
      <c r="B205" s="5" t="str">
        <f t="shared" si="3"/>
        <v/>
      </c>
      <c r="C205" s="6"/>
      <c r="D205" s="6"/>
      <c r="E205" s="4"/>
      <c r="F205" s="4"/>
      <c r="G205" s="4"/>
      <c r="H205" s="4"/>
      <c r="I205" s="4"/>
      <c r="J205" s="4"/>
    </row>
    <row r="206" spans="1:10" x14ac:dyDescent="0.25">
      <c r="A206" s="4"/>
      <c r="B206" s="5" t="str">
        <f t="shared" si="3"/>
        <v/>
      </c>
      <c r="C206" s="6"/>
      <c r="D206" s="6"/>
      <c r="E206" s="4"/>
      <c r="F206" s="4"/>
      <c r="G206" s="4"/>
      <c r="H206" s="4"/>
      <c r="I206" s="4"/>
      <c r="J206" s="4"/>
    </row>
    <row r="207" spans="1:10" x14ac:dyDescent="0.25">
      <c r="A207" s="4"/>
      <c r="B207" s="5" t="str">
        <f t="shared" si="3"/>
        <v/>
      </c>
      <c r="C207" s="6"/>
      <c r="D207" s="6"/>
      <c r="E207" s="4"/>
      <c r="F207" s="4"/>
      <c r="G207" s="4"/>
      <c r="H207" s="4"/>
      <c r="I207" s="4"/>
      <c r="J207" s="4"/>
    </row>
    <row r="208" spans="1:10" x14ac:dyDescent="0.25">
      <c r="A208" s="4"/>
      <c r="B208" s="5" t="str">
        <f t="shared" si="3"/>
        <v/>
      </c>
      <c r="C208" s="6"/>
      <c r="D208" s="6"/>
      <c r="E208" s="4"/>
      <c r="F208" s="4"/>
      <c r="G208" s="4"/>
      <c r="H208" s="4"/>
      <c r="I208" s="4"/>
      <c r="J208" s="4"/>
    </row>
    <row r="209" spans="1:10" x14ac:dyDescent="0.25">
      <c r="A209" s="4"/>
      <c r="B209" s="5" t="str">
        <f t="shared" si="3"/>
        <v/>
      </c>
      <c r="C209" s="6"/>
      <c r="D209" s="6"/>
      <c r="E209" s="4"/>
      <c r="F209" s="4"/>
      <c r="G209" s="4"/>
      <c r="H209" s="4"/>
      <c r="I209" s="4"/>
      <c r="J209" s="4"/>
    </row>
    <row r="210" spans="1:10" x14ac:dyDescent="0.25">
      <c r="A210" s="4"/>
      <c r="B210" s="5" t="str">
        <f t="shared" si="3"/>
        <v/>
      </c>
      <c r="C210" s="6"/>
      <c r="D210" s="6"/>
      <c r="E210" s="4"/>
      <c r="F210" s="4"/>
      <c r="G210" s="4"/>
      <c r="H210" s="4"/>
      <c r="I210" s="4"/>
      <c r="J210" s="4"/>
    </row>
    <row r="211" spans="1:10" x14ac:dyDescent="0.25">
      <c r="A211" s="4"/>
      <c r="B211" s="5" t="str">
        <f t="shared" si="3"/>
        <v/>
      </c>
      <c r="C211" s="6"/>
      <c r="D211" s="6"/>
      <c r="E211" s="4"/>
      <c r="F211" s="4"/>
      <c r="G211" s="4"/>
      <c r="H211" s="4"/>
      <c r="I211" s="4"/>
      <c r="J211" s="4"/>
    </row>
    <row r="212" spans="1:10" x14ac:dyDescent="0.25">
      <c r="A212" s="4"/>
      <c r="B212" s="5" t="str">
        <f t="shared" si="3"/>
        <v/>
      </c>
      <c r="C212" s="6"/>
      <c r="D212" s="6"/>
      <c r="E212" s="4"/>
      <c r="F212" s="4"/>
      <c r="G212" s="4"/>
      <c r="H212" s="4"/>
      <c r="I212" s="4"/>
      <c r="J212" s="4"/>
    </row>
    <row r="213" spans="1:10" x14ac:dyDescent="0.25">
      <c r="A213" s="4"/>
      <c r="B213" s="5" t="str">
        <f t="shared" si="3"/>
        <v/>
      </c>
      <c r="C213" s="6"/>
      <c r="D213" s="6"/>
      <c r="E213" s="4"/>
      <c r="F213" s="4"/>
      <c r="G213" s="4"/>
      <c r="H213" s="4"/>
      <c r="I213" s="4"/>
      <c r="J213" s="4"/>
    </row>
    <row r="214" spans="1:10" x14ac:dyDescent="0.25">
      <c r="A214" s="4"/>
      <c r="B214" s="5" t="str">
        <f t="shared" si="3"/>
        <v/>
      </c>
      <c r="C214" s="6"/>
      <c r="D214" s="6"/>
      <c r="E214" s="4"/>
      <c r="F214" s="4"/>
      <c r="G214" s="4"/>
      <c r="H214" s="4"/>
      <c r="I214" s="4"/>
      <c r="J214" s="4"/>
    </row>
    <row r="215" spans="1:10" x14ac:dyDescent="0.25">
      <c r="A215" s="4"/>
      <c r="B215" s="5" t="str">
        <f t="shared" si="3"/>
        <v/>
      </c>
      <c r="C215" s="6"/>
      <c r="D215" s="6"/>
      <c r="E215" s="4"/>
      <c r="F215" s="4"/>
      <c r="G215" s="4"/>
      <c r="H215" s="4"/>
      <c r="I215" s="4"/>
      <c r="J215" s="4"/>
    </row>
    <row r="216" spans="1:10" x14ac:dyDescent="0.25">
      <c r="A216" s="4"/>
      <c r="B216" s="5" t="str">
        <f t="shared" si="3"/>
        <v/>
      </c>
      <c r="C216" s="6"/>
      <c r="D216" s="6"/>
      <c r="E216" s="4"/>
      <c r="F216" s="4"/>
      <c r="G216" s="4"/>
      <c r="H216" s="4"/>
      <c r="I216" s="4"/>
      <c r="J216" s="4"/>
    </row>
    <row r="217" spans="1:10" x14ac:dyDescent="0.25">
      <c r="A217" s="4"/>
      <c r="B217" s="5" t="str">
        <f t="shared" si="3"/>
        <v/>
      </c>
      <c r="C217" s="6"/>
      <c r="D217" s="6"/>
      <c r="E217" s="4"/>
      <c r="F217" s="4"/>
      <c r="G217" s="4"/>
      <c r="H217" s="4"/>
      <c r="I217" s="4"/>
      <c r="J217" s="4"/>
    </row>
    <row r="218" spans="1:10" x14ac:dyDescent="0.25">
      <c r="A218" s="4"/>
      <c r="B218" s="5" t="str">
        <f t="shared" si="3"/>
        <v/>
      </c>
      <c r="C218" s="6"/>
      <c r="D218" s="6"/>
      <c r="E218" s="4"/>
      <c r="F218" s="4"/>
      <c r="G218" s="4"/>
      <c r="H218" s="4"/>
      <c r="I218" s="4"/>
      <c r="J218" s="4"/>
    </row>
    <row r="219" spans="1:10" x14ac:dyDescent="0.25">
      <c r="A219" s="4"/>
      <c r="B219" s="5" t="str">
        <f t="shared" si="3"/>
        <v/>
      </c>
      <c r="C219" s="6"/>
      <c r="D219" s="6"/>
      <c r="E219" s="4"/>
      <c r="F219" s="4"/>
      <c r="G219" s="4"/>
      <c r="H219" s="4"/>
      <c r="I219" s="4"/>
      <c r="J219" s="4"/>
    </row>
    <row r="220" spans="1:10" x14ac:dyDescent="0.25">
      <c r="A220" s="4"/>
      <c r="B220" s="5" t="str">
        <f t="shared" si="3"/>
        <v/>
      </c>
      <c r="C220" s="6"/>
      <c r="D220" s="6"/>
      <c r="E220" s="4"/>
      <c r="F220" s="4"/>
      <c r="G220" s="4"/>
      <c r="H220" s="4"/>
      <c r="I220" s="4"/>
      <c r="J220" s="4"/>
    </row>
    <row r="221" spans="1:10" x14ac:dyDescent="0.25">
      <c r="A221" s="4"/>
      <c r="B221" s="5" t="str">
        <f t="shared" si="3"/>
        <v/>
      </c>
      <c r="C221" s="6"/>
      <c r="D221" s="6"/>
      <c r="E221" s="4"/>
      <c r="F221" s="4"/>
      <c r="G221" s="4"/>
      <c r="H221" s="4"/>
      <c r="I221" s="4"/>
      <c r="J221" s="4"/>
    </row>
    <row r="222" spans="1:10" x14ac:dyDescent="0.25">
      <c r="A222" s="4"/>
      <c r="B222" s="5" t="str">
        <f t="shared" si="3"/>
        <v/>
      </c>
      <c r="C222" s="6"/>
      <c r="D222" s="6"/>
      <c r="E222" s="4"/>
      <c r="F222" s="4"/>
      <c r="G222" s="4"/>
      <c r="H222" s="4"/>
      <c r="I222" s="4"/>
      <c r="J222" s="4"/>
    </row>
    <row r="223" spans="1:10" x14ac:dyDescent="0.25">
      <c r="A223" s="4"/>
      <c r="B223" s="5" t="str">
        <f t="shared" si="3"/>
        <v/>
      </c>
      <c r="C223" s="6"/>
      <c r="D223" s="6"/>
      <c r="E223" s="4"/>
      <c r="F223" s="4"/>
      <c r="G223" s="4"/>
      <c r="H223" s="4"/>
      <c r="I223" s="4"/>
      <c r="J223" s="4"/>
    </row>
    <row r="224" spans="1:10" x14ac:dyDescent="0.25">
      <c r="A224" s="4"/>
      <c r="B224" s="5" t="str">
        <f t="shared" si="3"/>
        <v/>
      </c>
      <c r="C224" s="6"/>
      <c r="D224" s="6"/>
      <c r="E224" s="4"/>
      <c r="F224" s="4"/>
      <c r="G224" s="4"/>
      <c r="H224" s="4"/>
      <c r="I224" s="4"/>
      <c r="J224" s="4"/>
    </row>
    <row r="225" spans="1:10" x14ac:dyDescent="0.25">
      <c r="A225" s="4"/>
      <c r="B225" s="5" t="str">
        <f t="shared" si="3"/>
        <v/>
      </c>
      <c r="C225" s="6"/>
      <c r="D225" s="6"/>
      <c r="E225" s="4"/>
      <c r="F225" s="4"/>
      <c r="G225" s="4"/>
      <c r="H225" s="4"/>
      <c r="I225" s="4"/>
      <c r="J225" s="4"/>
    </row>
    <row r="226" spans="1:10" x14ac:dyDescent="0.25">
      <c r="A226" s="4"/>
      <c r="B226" s="5" t="str">
        <f t="shared" si="3"/>
        <v/>
      </c>
      <c r="C226" s="6"/>
      <c r="D226" s="6"/>
      <c r="E226" s="4"/>
      <c r="F226" s="4"/>
      <c r="G226" s="4"/>
      <c r="H226" s="4"/>
      <c r="I226" s="4"/>
      <c r="J226" s="4"/>
    </row>
    <row r="227" spans="1:10" x14ac:dyDescent="0.25">
      <c r="A227" s="4"/>
      <c r="B227" s="5" t="str">
        <f t="shared" si="3"/>
        <v/>
      </c>
      <c r="C227" s="6"/>
      <c r="D227" s="6"/>
      <c r="E227" s="4"/>
      <c r="F227" s="4"/>
      <c r="G227" s="4"/>
      <c r="H227" s="4"/>
      <c r="I227" s="4"/>
      <c r="J227" s="4"/>
    </row>
    <row r="228" spans="1:10" x14ac:dyDescent="0.25">
      <c r="A228" s="4"/>
      <c r="B228" s="5" t="str">
        <f t="shared" si="3"/>
        <v/>
      </c>
      <c r="C228" s="6"/>
      <c r="D228" s="6"/>
      <c r="E228" s="4"/>
      <c r="F228" s="4"/>
      <c r="G228" s="4"/>
      <c r="H228" s="4"/>
      <c r="I228" s="4"/>
      <c r="J228" s="4"/>
    </row>
    <row r="229" spans="1:10" x14ac:dyDescent="0.25">
      <c r="A229" s="4"/>
      <c r="B229" s="5" t="str">
        <f t="shared" si="3"/>
        <v/>
      </c>
      <c r="C229" s="6"/>
      <c r="D229" s="6"/>
      <c r="E229" s="4"/>
      <c r="F229" s="4"/>
      <c r="G229" s="4"/>
      <c r="H229" s="4"/>
      <c r="I229" s="4"/>
      <c r="J229" s="4"/>
    </row>
    <row r="230" spans="1:10" x14ac:dyDescent="0.25">
      <c r="A230" s="4"/>
      <c r="B230" s="5" t="str">
        <f t="shared" si="3"/>
        <v/>
      </c>
      <c r="C230" s="6"/>
      <c r="D230" s="6"/>
      <c r="E230" s="4"/>
      <c r="F230" s="4"/>
      <c r="G230" s="4"/>
      <c r="H230" s="4"/>
      <c r="I230" s="4"/>
      <c r="J230" s="4"/>
    </row>
    <row r="231" spans="1:10" x14ac:dyDescent="0.25">
      <c r="A231" s="4"/>
      <c r="B231" s="5" t="str">
        <f t="shared" si="3"/>
        <v/>
      </c>
      <c r="C231" s="6"/>
      <c r="D231" s="6"/>
      <c r="E231" s="4"/>
      <c r="F231" s="4"/>
      <c r="G231" s="4"/>
      <c r="H231" s="4"/>
      <c r="I231" s="4"/>
      <c r="J231" s="4"/>
    </row>
    <row r="232" spans="1:10" x14ac:dyDescent="0.25">
      <c r="A232" s="4"/>
      <c r="B232" s="5" t="str">
        <f t="shared" si="3"/>
        <v/>
      </c>
      <c r="C232" s="6"/>
      <c r="D232" s="6"/>
      <c r="E232" s="4"/>
      <c r="F232" s="4"/>
      <c r="G232" s="4"/>
      <c r="H232" s="4"/>
      <c r="I232" s="4"/>
      <c r="J232" s="4"/>
    </row>
    <row r="233" spans="1:10" x14ac:dyDescent="0.25">
      <c r="A233" s="4"/>
      <c r="B233" s="5" t="str">
        <f t="shared" si="3"/>
        <v/>
      </c>
      <c r="C233" s="6"/>
      <c r="D233" s="6"/>
      <c r="E233" s="4"/>
      <c r="F233" s="4"/>
      <c r="G233" s="4"/>
      <c r="H233" s="4"/>
      <c r="I233" s="4"/>
      <c r="J233" s="4"/>
    </row>
    <row r="234" spans="1:10" x14ac:dyDescent="0.25">
      <c r="A234" s="4"/>
      <c r="B234" s="5" t="str">
        <f t="shared" si="3"/>
        <v/>
      </c>
      <c r="C234" s="6"/>
      <c r="D234" s="6"/>
      <c r="E234" s="4"/>
      <c r="F234" s="4"/>
      <c r="G234" s="4"/>
      <c r="H234" s="4"/>
      <c r="I234" s="4"/>
      <c r="J234" s="4"/>
    </row>
    <row r="235" spans="1:10" x14ac:dyDescent="0.25">
      <c r="A235" s="4"/>
      <c r="B235" s="5" t="str">
        <f t="shared" si="3"/>
        <v/>
      </c>
      <c r="C235" s="6"/>
      <c r="D235" s="6"/>
      <c r="E235" s="4"/>
      <c r="F235" s="4"/>
      <c r="G235" s="4"/>
      <c r="H235" s="4"/>
      <c r="I235" s="4"/>
      <c r="J235" s="4"/>
    </row>
    <row r="236" spans="1:10" x14ac:dyDescent="0.25">
      <c r="A236" s="4"/>
      <c r="B236" s="5" t="str">
        <f t="shared" si="3"/>
        <v/>
      </c>
      <c r="C236" s="6"/>
      <c r="D236" s="6"/>
      <c r="E236" s="4"/>
      <c r="F236" s="4"/>
      <c r="G236" s="4"/>
      <c r="H236" s="4"/>
      <c r="I236" s="4"/>
      <c r="J236" s="4"/>
    </row>
    <row r="237" spans="1:10" x14ac:dyDescent="0.25">
      <c r="A237" s="4"/>
      <c r="B237" s="5" t="str">
        <f t="shared" si="3"/>
        <v/>
      </c>
      <c r="C237" s="6"/>
      <c r="D237" s="6"/>
      <c r="E237" s="4"/>
      <c r="F237" s="4"/>
      <c r="G237" s="4"/>
      <c r="H237" s="4"/>
      <c r="I237" s="4"/>
      <c r="J237" s="4"/>
    </row>
    <row r="238" spans="1:10" x14ac:dyDescent="0.25">
      <c r="A238" s="4"/>
      <c r="B238" s="5" t="str">
        <f t="shared" si="3"/>
        <v/>
      </c>
      <c r="C238" s="6"/>
      <c r="D238" s="6"/>
      <c r="E238" s="4"/>
      <c r="F238" s="4"/>
      <c r="G238" s="4"/>
      <c r="H238" s="4"/>
      <c r="I238" s="4"/>
      <c r="J238" s="4"/>
    </row>
    <row r="239" spans="1:10" x14ac:dyDescent="0.25">
      <c r="A239" s="4"/>
      <c r="B239" s="5" t="str">
        <f t="shared" si="3"/>
        <v/>
      </c>
      <c r="C239" s="6"/>
      <c r="D239" s="6"/>
      <c r="E239" s="4"/>
      <c r="F239" s="4"/>
      <c r="G239" s="4"/>
      <c r="H239" s="4"/>
      <c r="I239" s="4"/>
      <c r="J239" s="4"/>
    </row>
    <row r="240" spans="1:10" x14ac:dyDescent="0.25">
      <c r="A240" s="4"/>
      <c r="B240" s="5" t="str">
        <f t="shared" si="3"/>
        <v/>
      </c>
      <c r="C240" s="6"/>
      <c r="D240" s="6"/>
      <c r="E240" s="4"/>
      <c r="F240" s="4"/>
      <c r="G240" s="4"/>
      <c r="H240" s="4"/>
      <c r="I240" s="4"/>
      <c r="J240" s="4"/>
    </row>
    <row r="241" spans="1:10" x14ac:dyDescent="0.25">
      <c r="A241" s="4"/>
      <c r="B241" s="5" t="str">
        <f t="shared" si="3"/>
        <v/>
      </c>
      <c r="C241" s="6"/>
      <c r="D241" s="6"/>
      <c r="E241" s="4"/>
      <c r="F241" s="4"/>
      <c r="G241" s="4"/>
      <c r="H241" s="4"/>
      <c r="I241" s="4"/>
      <c r="J241" s="4"/>
    </row>
    <row r="242" spans="1:10" x14ac:dyDescent="0.25">
      <c r="A242" s="4"/>
      <c r="B242" s="5" t="str">
        <f t="shared" si="3"/>
        <v/>
      </c>
      <c r="C242" s="6"/>
      <c r="D242" s="6"/>
      <c r="E242" s="4"/>
      <c r="F242" s="4"/>
      <c r="G242" s="4"/>
      <c r="H242" s="4"/>
      <c r="I242" s="4"/>
      <c r="J242" s="4"/>
    </row>
    <row r="243" spans="1:10" x14ac:dyDescent="0.25">
      <c r="A243" s="4"/>
      <c r="B243" s="5" t="str">
        <f t="shared" si="3"/>
        <v/>
      </c>
      <c r="C243" s="6"/>
      <c r="D243" s="6"/>
      <c r="E243" s="4"/>
      <c r="F243" s="4"/>
      <c r="G243" s="4"/>
      <c r="H243" s="4"/>
      <c r="I243" s="4"/>
      <c r="J243" s="4"/>
    </row>
    <row r="244" spans="1:10" x14ac:dyDescent="0.25">
      <c r="A244" s="4"/>
      <c r="B244" s="5" t="str">
        <f t="shared" si="3"/>
        <v/>
      </c>
      <c r="C244" s="6"/>
      <c r="D244" s="6"/>
      <c r="E244" s="4"/>
      <c r="F244" s="4"/>
      <c r="G244" s="4"/>
      <c r="H244" s="4"/>
      <c r="I244" s="4"/>
      <c r="J244" s="4"/>
    </row>
    <row r="245" spans="1:10" x14ac:dyDescent="0.25">
      <c r="A245" s="4"/>
      <c r="B245" s="5" t="str">
        <f t="shared" si="3"/>
        <v/>
      </c>
      <c r="C245" s="6"/>
      <c r="D245" s="6"/>
      <c r="E245" s="4"/>
      <c r="F245" s="4"/>
      <c r="G245" s="4"/>
      <c r="H245" s="4"/>
      <c r="I245" s="4"/>
      <c r="J245" s="4"/>
    </row>
    <row r="246" spans="1:10" x14ac:dyDescent="0.25">
      <c r="A246" s="4"/>
      <c r="B246" s="5" t="str">
        <f t="shared" si="3"/>
        <v/>
      </c>
      <c r="C246" s="6"/>
      <c r="D246" s="6"/>
      <c r="E246" s="4"/>
      <c r="F246" s="4"/>
      <c r="G246" s="4"/>
      <c r="H246" s="4"/>
      <c r="I246" s="4"/>
      <c r="J246" s="4"/>
    </row>
    <row r="247" spans="1:10" x14ac:dyDescent="0.25">
      <c r="A247" s="4"/>
      <c r="B247" s="5" t="str">
        <f t="shared" si="3"/>
        <v/>
      </c>
      <c r="C247" s="6"/>
      <c r="D247" s="6"/>
      <c r="E247" s="4"/>
      <c r="F247" s="4"/>
      <c r="G247" s="4"/>
      <c r="H247" s="4"/>
      <c r="I247" s="4"/>
      <c r="J247" s="4"/>
    </row>
    <row r="248" spans="1:10" x14ac:dyDescent="0.25">
      <c r="A248" s="4"/>
      <c r="B248" s="5" t="str">
        <f t="shared" si="3"/>
        <v/>
      </c>
      <c r="C248" s="6"/>
      <c r="D248" s="6"/>
      <c r="E248" s="4"/>
      <c r="F248" s="4"/>
      <c r="G248" s="4"/>
      <c r="H248" s="4"/>
      <c r="I248" s="4"/>
      <c r="J248" s="4"/>
    </row>
    <row r="249" spans="1:10" x14ac:dyDescent="0.25">
      <c r="A249" s="4"/>
      <c r="B249" s="5" t="str">
        <f t="shared" si="3"/>
        <v/>
      </c>
      <c r="C249" s="6"/>
      <c r="D249" s="6"/>
      <c r="E249" s="4"/>
      <c r="F249" s="4"/>
      <c r="G249" s="4"/>
      <c r="H249" s="4"/>
      <c r="I249" s="4"/>
      <c r="J249" s="4"/>
    </row>
    <row r="250" spans="1:10" x14ac:dyDescent="0.25">
      <c r="A250" s="4"/>
      <c r="B250" s="5" t="str">
        <f t="shared" si="3"/>
        <v/>
      </c>
      <c r="C250" s="6"/>
      <c r="D250" s="6"/>
      <c r="E250" s="4"/>
      <c r="F250" s="4"/>
      <c r="G250" s="4"/>
      <c r="H250" s="4"/>
      <c r="I250" s="4"/>
      <c r="J250" s="4"/>
    </row>
    <row r="251" spans="1:10" x14ac:dyDescent="0.25">
      <c r="A251" s="4"/>
      <c r="B251" s="5" t="str">
        <f t="shared" si="3"/>
        <v/>
      </c>
      <c r="C251" s="6"/>
      <c r="D251" s="6"/>
      <c r="E251" s="4"/>
      <c r="F251" s="4"/>
      <c r="G251" s="4"/>
      <c r="H251" s="4"/>
      <c r="I251" s="4"/>
      <c r="J251" s="4"/>
    </row>
    <row r="252" spans="1:10" x14ac:dyDescent="0.25">
      <c r="A252" s="4"/>
      <c r="B252" s="5" t="str">
        <f t="shared" si="3"/>
        <v/>
      </c>
      <c r="C252" s="6"/>
      <c r="D252" s="6"/>
      <c r="E252" s="4"/>
      <c r="F252" s="4"/>
      <c r="G252" s="4"/>
      <c r="H252" s="4"/>
      <c r="I252" s="4"/>
      <c r="J252" s="4"/>
    </row>
    <row r="253" spans="1:10" x14ac:dyDescent="0.25">
      <c r="A253" s="4"/>
      <c r="B253" s="5" t="str">
        <f t="shared" si="3"/>
        <v/>
      </c>
      <c r="C253" s="6"/>
      <c r="D253" s="6"/>
      <c r="E253" s="4"/>
      <c r="F253" s="4"/>
      <c r="G253" s="4"/>
      <c r="H253" s="4"/>
      <c r="I253" s="4"/>
      <c r="J253" s="4"/>
    </row>
    <row r="254" spans="1:10" x14ac:dyDescent="0.25">
      <c r="A254" s="4"/>
      <c r="B254" s="5" t="str">
        <f t="shared" si="3"/>
        <v/>
      </c>
      <c r="C254" s="6"/>
      <c r="D254" s="6"/>
      <c r="E254" s="4"/>
      <c r="F254" s="4"/>
      <c r="G254" s="4"/>
      <c r="H254" s="4"/>
      <c r="I254" s="4"/>
      <c r="J254" s="4"/>
    </row>
    <row r="255" spans="1:10" x14ac:dyDescent="0.25">
      <c r="A255" s="4"/>
      <c r="B255" s="5" t="str">
        <f t="shared" si="3"/>
        <v/>
      </c>
      <c r="C255" s="6"/>
      <c r="D255" s="6"/>
      <c r="E255" s="4"/>
      <c r="F255" s="4"/>
      <c r="G255" s="4"/>
      <c r="H255" s="4"/>
      <c r="I255" s="4"/>
      <c r="J255" s="4"/>
    </row>
    <row r="256" spans="1:10" x14ac:dyDescent="0.25">
      <c r="A256" s="4"/>
      <c r="B256" s="5" t="str">
        <f t="shared" si="3"/>
        <v/>
      </c>
      <c r="C256" s="6"/>
      <c r="D256" s="6"/>
      <c r="E256" s="4"/>
      <c r="F256" s="4"/>
      <c r="G256" s="4"/>
      <c r="H256" s="4"/>
      <c r="I256" s="4"/>
      <c r="J256" s="4"/>
    </row>
    <row r="257" spans="1:10" x14ac:dyDescent="0.25">
      <c r="A257" s="4"/>
      <c r="B257" s="5" t="str">
        <f t="shared" si="3"/>
        <v/>
      </c>
      <c r="C257" s="6"/>
      <c r="D257" s="6"/>
      <c r="E257" s="4"/>
      <c r="F257" s="4"/>
      <c r="G257" s="4"/>
      <c r="H257" s="4"/>
      <c r="I257" s="4"/>
      <c r="J257" s="4"/>
    </row>
    <row r="258" spans="1:10" x14ac:dyDescent="0.25">
      <c r="A258" s="4"/>
      <c r="B258" s="5" t="str">
        <f t="shared" ref="B258:B321" si="4">IF($A258="","",IFERROR(INDEX(AccountCode,MATCH($A258,AccountName,0)),IFERROR(INDEX(AccountCode,MATCH($A258,AccountCode,0)),"NOT FOUND")))</f>
        <v/>
      </c>
      <c r="C258" s="6"/>
      <c r="D258" s="6"/>
      <c r="E258" s="4"/>
      <c r="F258" s="4"/>
      <c r="G258" s="4"/>
      <c r="H258" s="4"/>
      <c r="I258" s="4"/>
      <c r="J258" s="4"/>
    </row>
    <row r="259" spans="1:10" x14ac:dyDescent="0.25">
      <c r="A259" s="4"/>
      <c r="B259" s="5" t="str">
        <f t="shared" si="4"/>
        <v/>
      </c>
      <c r="C259" s="6"/>
      <c r="D259" s="6"/>
      <c r="E259" s="4"/>
      <c r="F259" s="4"/>
      <c r="G259" s="4"/>
      <c r="H259" s="4"/>
      <c r="I259" s="4"/>
      <c r="J259" s="4"/>
    </row>
    <row r="260" spans="1:10" x14ac:dyDescent="0.25">
      <c r="A260" s="4"/>
      <c r="B260" s="5" t="str">
        <f t="shared" si="4"/>
        <v/>
      </c>
      <c r="C260" s="6"/>
      <c r="D260" s="6"/>
      <c r="E260" s="4"/>
      <c r="F260" s="4"/>
      <c r="G260" s="4"/>
      <c r="H260" s="4"/>
      <c r="I260" s="4"/>
      <c r="J260" s="4"/>
    </row>
    <row r="261" spans="1:10" x14ac:dyDescent="0.25">
      <c r="A261" s="4"/>
      <c r="B261" s="5" t="str">
        <f t="shared" si="4"/>
        <v/>
      </c>
      <c r="C261" s="6"/>
      <c r="D261" s="6"/>
      <c r="E261" s="4"/>
      <c r="F261" s="4"/>
      <c r="G261" s="4"/>
      <c r="H261" s="4"/>
      <c r="I261" s="4"/>
      <c r="J261" s="4"/>
    </row>
    <row r="262" spans="1:10" x14ac:dyDescent="0.25">
      <c r="A262" s="4"/>
      <c r="B262" s="5" t="str">
        <f t="shared" si="4"/>
        <v/>
      </c>
      <c r="C262" s="6"/>
      <c r="D262" s="6"/>
      <c r="E262" s="4"/>
      <c r="F262" s="4"/>
      <c r="G262" s="4"/>
      <c r="H262" s="4"/>
      <c r="I262" s="4"/>
      <c r="J262" s="4"/>
    </row>
    <row r="263" spans="1:10" x14ac:dyDescent="0.25">
      <c r="A263" s="4"/>
      <c r="B263" s="5" t="str">
        <f t="shared" si="4"/>
        <v/>
      </c>
      <c r="C263" s="6"/>
      <c r="D263" s="6"/>
      <c r="E263" s="4"/>
      <c r="F263" s="4"/>
      <c r="G263" s="4"/>
      <c r="H263" s="4"/>
      <c r="I263" s="4"/>
      <c r="J263" s="4"/>
    </row>
    <row r="264" spans="1:10" x14ac:dyDescent="0.25">
      <c r="A264" s="4"/>
      <c r="B264" s="5" t="str">
        <f t="shared" si="4"/>
        <v/>
      </c>
      <c r="C264" s="6"/>
      <c r="D264" s="6"/>
      <c r="E264" s="4"/>
      <c r="F264" s="4"/>
      <c r="G264" s="4"/>
      <c r="H264" s="4"/>
      <c r="I264" s="4"/>
      <c r="J264" s="4"/>
    </row>
    <row r="265" spans="1:10" x14ac:dyDescent="0.25">
      <c r="A265" s="4"/>
      <c r="B265" s="5" t="str">
        <f t="shared" si="4"/>
        <v/>
      </c>
      <c r="C265" s="6"/>
      <c r="D265" s="6"/>
      <c r="E265" s="4"/>
      <c r="F265" s="4"/>
      <c r="G265" s="4"/>
      <c r="H265" s="4"/>
      <c r="I265" s="4"/>
      <c r="J265" s="4"/>
    </row>
    <row r="266" spans="1:10" x14ac:dyDescent="0.25">
      <c r="A266" s="4"/>
      <c r="B266" s="5" t="str">
        <f t="shared" si="4"/>
        <v/>
      </c>
      <c r="C266" s="6"/>
      <c r="D266" s="6"/>
      <c r="E266" s="4"/>
      <c r="F266" s="4"/>
      <c r="G266" s="4"/>
      <c r="H266" s="4"/>
      <c r="I266" s="4"/>
      <c r="J266" s="4"/>
    </row>
    <row r="267" spans="1:10" x14ac:dyDescent="0.25">
      <c r="A267" s="4"/>
      <c r="B267" s="5" t="str">
        <f t="shared" si="4"/>
        <v/>
      </c>
      <c r="C267" s="6"/>
      <c r="D267" s="6"/>
      <c r="E267" s="4"/>
      <c r="F267" s="4"/>
      <c r="G267" s="4"/>
      <c r="H267" s="4"/>
      <c r="I267" s="4"/>
      <c r="J267" s="4"/>
    </row>
    <row r="268" spans="1:10" x14ac:dyDescent="0.25">
      <c r="A268" s="4"/>
      <c r="B268" s="5" t="str">
        <f t="shared" si="4"/>
        <v/>
      </c>
      <c r="C268" s="6"/>
      <c r="D268" s="6"/>
      <c r="E268" s="4"/>
      <c r="F268" s="4"/>
      <c r="G268" s="4"/>
      <c r="H268" s="4"/>
      <c r="I268" s="4"/>
      <c r="J268" s="4"/>
    </row>
    <row r="269" spans="1:10" x14ac:dyDescent="0.25">
      <c r="A269" s="4"/>
      <c r="B269" s="5" t="str">
        <f t="shared" si="4"/>
        <v/>
      </c>
      <c r="C269" s="6"/>
      <c r="D269" s="6"/>
      <c r="E269" s="4"/>
      <c r="F269" s="4"/>
      <c r="G269" s="4"/>
      <c r="H269" s="4"/>
      <c r="I269" s="4"/>
      <c r="J269" s="4"/>
    </row>
    <row r="270" spans="1:10" x14ac:dyDescent="0.25">
      <c r="A270" s="4"/>
      <c r="B270" s="5" t="str">
        <f t="shared" si="4"/>
        <v/>
      </c>
      <c r="C270" s="6"/>
      <c r="D270" s="6"/>
      <c r="E270" s="4"/>
      <c r="F270" s="4"/>
      <c r="G270" s="4"/>
      <c r="H270" s="4"/>
      <c r="I270" s="4"/>
      <c r="J270" s="4"/>
    </row>
    <row r="271" spans="1:10" x14ac:dyDescent="0.25">
      <c r="A271" s="4"/>
      <c r="B271" s="5" t="str">
        <f t="shared" si="4"/>
        <v/>
      </c>
      <c r="C271" s="6"/>
      <c r="D271" s="6"/>
      <c r="E271" s="4"/>
      <c r="F271" s="4"/>
      <c r="G271" s="4"/>
      <c r="H271" s="4"/>
      <c r="I271" s="4"/>
      <c r="J271" s="4"/>
    </row>
    <row r="272" spans="1:10" x14ac:dyDescent="0.25">
      <c r="A272" s="4"/>
      <c r="B272" s="5" t="str">
        <f t="shared" si="4"/>
        <v/>
      </c>
      <c r="C272" s="6"/>
      <c r="D272" s="6"/>
      <c r="E272" s="4"/>
      <c r="F272" s="4"/>
      <c r="G272" s="4"/>
      <c r="H272" s="4"/>
      <c r="I272" s="4"/>
      <c r="J272" s="4"/>
    </row>
    <row r="273" spans="1:10" x14ac:dyDescent="0.25">
      <c r="A273" s="4"/>
      <c r="B273" s="5" t="str">
        <f t="shared" si="4"/>
        <v/>
      </c>
      <c r="C273" s="6"/>
      <c r="D273" s="6"/>
      <c r="E273" s="4"/>
      <c r="F273" s="4"/>
      <c r="G273" s="4"/>
      <c r="H273" s="4"/>
      <c r="I273" s="4"/>
      <c r="J273" s="4"/>
    </row>
    <row r="274" spans="1:10" x14ac:dyDescent="0.25">
      <c r="A274" s="4"/>
      <c r="B274" s="5" t="str">
        <f t="shared" si="4"/>
        <v/>
      </c>
      <c r="C274" s="6"/>
      <c r="D274" s="6"/>
      <c r="E274" s="4"/>
      <c r="F274" s="4"/>
      <c r="G274" s="4"/>
      <c r="H274" s="4"/>
      <c r="I274" s="4"/>
      <c r="J274" s="4"/>
    </row>
    <row r="275" spans="1:10" x14ac:dyDescent="0.25">
      <c r="A275" s="4"/>
      <c r="B275" s="5" t="str">
        <f t="shared" si="4"/>
        <v/>
      </c>
      <c r="C275" s="6"/>
      <c r="D275" s="6"/>
      <c r="E275" s="4"/>
      <c r="F275" s="4"/>
      <c r="G275" s="4"/>
      <c r="H275" s="4"/>
      <c r="I275" s="4"/>
      <c r="J275" s="4"/>
    </row>
    <row r="276" spans="1:10" x14ac:dyDescent="0.25">
      <c r="A276" s="4"/>
      <c r="B276" s="5" t="str">
        <f t="shared" si="4"/>
        <v/>
      </c>
      <c r="C276" s="6"/>
      <c r="D276" s="6"/>
      <c r="E276" s="4"/>
      <c r="F276" s="4"/>
      <c r="G276" s="4"/>
      <c r="H276" s="4"/>
      <c r="I276" s="4"/>
      <c r="J276" s="4"/>
    </row>
    <row r="277" spans="1:10" x14ac:dyDescent="0.25">
      <c r="A277" s="4"/>
      <c r="B277" s="5" t="str">
        <f t="shared" si="4"/>
        <v/>
      </c>
      <c r="C277" s="6"/>
      <c r="D277" s="6"/>
      <c r="E277" s="4"/>
      <c r="F277" s="4"/>
      <c r="G277" s="4"/>
      <c r="H277" s="4"/>
      <c r="I277" s="4"/>
      <c r="J277" s="4"/>
    </row>
    <row r="278" spans="1:10" x14ac:dyDescent="0.25">
      <c r="A278" s="4"/>
      <c r="B278" s="5" t="str">
        <f t="shared" si="4"/>
        <v/>
      </c>
      <c r="C278" s="6"/>
      <c r="D278" s="6"/>
      <c r="E278" s="4"/>
      <c r="F278" s="4"/>
      <c r="G278" s="4"/>
      <c r="H278" s="4"/>
      <c r="I278" s="4"/>
      <c r="J278" s="4"/>
    </row>
    <row r="279" spans="1:10" x14ac:dyDescent="0.25">
      <c r="A279" s="4"/>
      <c r="B279" s="5" t="str">
        <f t="shared" si="4"/>
        <v/>
      </c>
      <c r="C279" s="6"/>
      <c r="D279" s="6"/>
      <c r="E279" s="4"/>
      <c r="F279" s="4"/>
      <c r="G279" s="4"/>
      <c r="H279" s="4"/>
      <c r="I279" s="4"/>
      <c r="J279" s="4"/>
    </row>
    <row r="280" spans="1:10" x14ac:dyDescent="0.25">
      <c r="A280" s="4"/>
      <c r="B280" s="5" t="str">
        <f t="shared" si="4"/>
        <v/>
      </c>
      <c r="C280" s="6"/>
      <c r="D280" s="6"/>
      <c r="E280" s="4"/>
      <c r="F280" s="4"/>
      <c r="G280" s="4"/>
      <c r="H280" s="4"/>
      <c r="I280" s="4"/>
      <c r="J280" s="4"/>
    </row>
    <row r="281" spans="1:10" x14ac:dyDescent="0.25">
      <c r="A281" s="4"/>
      <c r="B281" s="5" t="str">
        <f t="shared" si="4"/>
        <v/>
      </c>
      <c r="C281" s="6"/>
      <c r="D281" s="6"/>
      <c r="E281" s="4"/>
      <c r="F281" s="4"/>
      <c r="G281" s="4"/>
      <c r="H281" s="4"/>
      <c r="I281" s="4"/>
      <c r="J281" s="4"/>
    </row>
    <row r="282" spans="1:10" x14ac:dyDescent="0.25">
      <c r="A282" s="4"/>
      <c r="B282" s="5" t="str">
        <f t="shared" si="4"/>
        <v/>
      </c>
      <c r="C282" s="6"/>
      <c r="D282" s="6"/>
      <c r="E282" s="4"/>
      <c r="F282" s="4"/>
      <c r="G282" s="4"/>
      <c r="H282" s="4"/>
      <c r="I282" s="4"/>
      <c r="J282" s="4"/>
    </row>
    <row r="283" spans="1:10" x14ac:dyDescent="0.25">
      <c r="A283" s="4"/>
      <c r="B283" s="5" t="str">
        <f t="shared" si="4"/>
        <v/>
      </c>
      <c r="C283" s="6"/>
      <c r="D283" s="6"/>
      <c r="E283" s="4"/>
      <c r="F283" s="4"/>
      <c r="G283" s="4"/>
      <c r="H283" s="4"/>
      <c r="I283" s="4"/>
      <c r="J283" s="4"/>
    </row>
    <row r="284" spans="1:10" x14ac:dyDescent="0.25">
      <c r="A284" s="4"/>
      <c r="B284" s="5" t="str">
        <f t="shared" si="4"/>
        <v/>
      </c>
      <c r="C284" s="6"/>
      <c r="D284" s="6"/>
      <c r="E284" s="4"/>
      <c r="F284" s="4"/>
      <c r="G284" s="4"/>
      <c r="H284" s="4"/>
      <c r="I284" s="4"/>
      <c r="J284" s="4"/>
    </row>
    <row r="285" spans="1:10" x14ac:dyDescent="0.25">
      <c r="A285" s="4"/>
      <c r="B285" s="5" t="str">
        <f t="shared" si="4"/>
        <v/>
      </c>
      <c r="C285" s="6"/>
      <c r="D285" s="6"/>
      <c r="E285" s="4"/>
      <c r="F285" s="4"/>
      <c r="G285" s="4"/>
      <c r="H285" s="4"/>
      <c r="I285" s="4"/>
      <c r="J285" s="4"/>
    </row>
    <row r="286" spans="1:10" x14ac:dyDescent="0.25">
      <c r="A286" s="4"/>
      <c r="B286" s="5" t="str">
        <f t="shared" si="4"/>
        <v/>
      </c>
      <c r="C286" s="6"/>
      <c r="D286" s="6"/>
      <c r="E286" s="4"/>
      <c r="F286" s="4"/>
      <c r="G286" s="4"/>
      <c r="H286" s="4"/>
      <c r="I286" s="4"/>
      <c r="J286" s="4"/>
    </row>
    <row r="287" spans="1:10" x14ac:dyDescent="0.25">
      <c r="A287" s="4"/>
      <c r="B287" s="5" t="str">
        <f t="shared" si="4"/>
        <v/>
      </c>
      <c r="C287" s="6"/>
      <c r="D287" s="6"/>
      <c r="E287" s="4"/>
      <c r="F287" s="4"/>
      <c r="G287" s="4"/>
      <c r="H287" s="4"/>
      <c r="I287" s="4"/>
      <c r="J287" s="4"/>
    </row>
    <row r="288" spans="1:10" x14ac:dyDescent="0.25">
      <c r="A288" s="4"/>
      <c r="B288" s="5" t="str">
        <f t="shared" si="4"/>
        <v/>
      </c>
      <c r="C288" s="6"/>
      <c r="D288" s="6"/>
      <c r="E288" s="4"/>
      <c r="F288" s="4"/>
      <c r="G288" s="4"/>
      <c r="H288" s="4"/>
      <c r="I288" s="4"/>
      <c r="J288" s="4"/>
    </row>
    <row r="289" spans="1:10" x14ac:dyDescent="0.25">
      <c r="A289" s="4"/>
      <c r="B289" s="5" t="str">
        <f t="shared" si="4"/>
        <v/>
      </c>
      <c r="C289" s="6"/>
      <c r="D289" s="6"/>
      <c r="E289" s="4"/>
      <c r="F289" s="4"/>
      <c r="G289" s="4"/>
      <c r="H289" s="4"/>
      <c r="I289" s="4"/>
      <c r="J289" s="4"/>
    </row>
    <row r="290" spans="1:10" x14ac:dyDescent="0.25">
      <c r="A290" s="4"/>
      <c r="B290" s="5" t="str">
        <f t="shared" si="4"/>
        <v/>
      </c>
      <c r="C290" s="6"/>
      <c r="D290" s="6"/>
      <c r="E290" s="4"/>
      <c r="F290" s="4"/>
      <c r="G290" s="4"/>
      <c r="H290" s="4"/>
      <c r="I290" s="4"/>
      <c r="J290" s="4"/>
    </row>
    <row r="291" spans="1:10" x14ac:dyDescent="0.25">
      <c r="A291" s="4"/>
      <c r="B291" s="5" t="str">
        <f t="shared" si="4"/>
        <v/>
      </c>
      <c r="C291" s="6"/>
      <c r="D291" s="6"/>
      <c r="E291" s="4"/>
      <c r="F291" s="4"/>
      <c r="G291" s="4"/>
      <c r="H291" s="4"/>
      <c r="I291" s="4"/>
      <c r="J291" s="4"/>
    </row>
    <row r="292" spans="1:10" x14ac:dyDescent="0.25">
      <c r="A292" s="4"/>
      <c r="B292" s="5" t="str">
        <f t="shared" si="4"/>
        <v/>
      </c>
      <c r="C292" s="6"/>
      <c r="D292" s="6"/>
      <c r="E292" s="4"/>
      <c r="F292" s="4"/>
      <c r="G292" s="4"/>
      <c r="H292" s="4"/>
      <c r="I292" s="4"/>
      <c r="J292" s="4"/>
    </row>
    <row r="293" spans="1:10" x14ac:dyDescent="0.25">
      <c r="A293" s="4"/>
      <c r="B293" s="5" t="str">
        <f t="shared" si="4"/>
        <v/>
      </c>
      <c r="C293" s="6"/>
      <c r="D293" s="6"/>
      <c r="E293" s="4"/>
      <c r="F293" s="4"/>
      <c r="G293" s="4"/>
      <c r="H293" s="4"/>
      <c r="I293" s="4"/>
      <c r="J293" s="4"/>
    </row>
    <row r="294" spans="1:10" x14ac:dyDescent="0.25">
      <c r="A294" s="4"/>
      <c r="B294" s="5" t="str">
        <f t="shared" si="4"/>
        <v/>
      </c>
      <c r="C294" s="6"/>
      <c r="D294" s="6"/>
      <c r="E294" s="4"/>
      <c r="F294" s="4"/>
      <c r="G294" s="4"/>
      <c r="H294" s="4"/>
      <c r="I294" s="4"/>
      <c r="J294" s="4"/>
    </row>
    <row r="295" spans="1:10" x14ac:dyDescent="0.25">
      <c r="A295" s="4"/>
      <c r="B295" s="5" t="str">
        <f t="shared" si="4"/>
        <v/>
      </c>
      <c r="C295" s="6"/>
      <c r="D295" s="6"/>
      <c r="E295" s="4"/>
      <c r="F295" s="4"/>
      <c r="G295" s="4"/>
      <c r="H295" s="4"/>
      <c r="I295" s="4"/>
      <c r="J295" s="4"/>
    </row>
    <row r="296" spans="1:10" x14ac:dyDescent="0.25">
      <c r="A296" s="4"/>
      <c r="B296" s="5" t="str">
        <f t="shared" si="4"/>
        <v/>
      </c>
      <c r="C296" s="6"/>
      <c r="D296" s="6"/>
      <c r="E296" s="4"/>
      <c r="F296" s="4"/>
      <c r="G296" s="4"/>
      <c r="H296" s="4"/>
      <c r="I296" s="4"/>
      <c r="J296" s="4"/>
    </row>
    <row r="297" spans="1:10" x14ac:dyDescent="0.25">
      <c r="A297" s="4"/>
      <c r="B297" s="5" t="str">
        <f t="shared" si="4"/>
        <v/>
      </c>
      <c r="C297" s="6"/>
      <c r="D297" s="6"/>
      <c r="E297" s="4"/>
      <c r="F297" s="4"/>
      <c r="G297" s="4"/>
      <c r="H297" s="4"/>
      <c r="I297" s="4"/>
      <c r="J297" s="4"/>
    </row>
    <row r="298" spans="1:10" x14ac:dyDescent="0.25">
      <c r="A298" s="4"/>
      <c r="B298" s="5" t="str">
        <f t="shared" si="4"/>
        <v/>
      </c>
      <c r="C298" s="6"/>
      <c r="D298" s="6"/>
      <c r="E298" s="4"/>
      <c r="F298" s="4"/>
      <c r="G298" s="4"/>
      <c r="H298" s="4"/>
      <c r="I298" s="4"/>
      <c r="J298" s="4"/>
    </row>
    <row r="299" spans="1:10" x14ac:dyDescent="0.25">
      <c r="A299" s="4"/>
      <c r="B299" s="5" t="str">
        <f t="shared" si="4"/>
        <v/>
      </c>
      <c r="C299" s="6"/>
      <c r="D299" s="6"/>
      <c r="E299" s="4"/>
      <c r="F299" s="4"/>
      <c r="G299" s="4"/>
      <c r="H299" s="4"/>
      <c r="I299" s="4"/>
      <c r="J299" s="4"/>
    </row>
    <row r="300" spans="1:10" x14ac:dyDescent="0.25">
      <c r="A300" s="4"/>
      <c r="B300" s="5" t="str">
        <f t="shared" si="4"/>
        <v/>
      </c>
      <c r="C300" s="6"/>
      <c r="D300" s="6"/>
      <c r="E300" s="4"/>
      <c r="F300" s="4"/>
      <c r="G300" s="4"/>
      <c r="H300" s="4"/>
      <c r="I300" s="4"/>
      <c r="J300" s="4"/>
    </row>
    <row r="301" spans="1:10" x14ac:dyDescent="0.25">
      <c r="A301" s="4"/>
      <c r="B301" s="5" t="str">
        <f t="shared" si="4"/>
        <v/>
      </c>
      <c r="C301" s="6"/>
      <c r="D301" s="6"/>
      <c r="E301" s="4"/>
      <c r="F301" s="4"/>
      <c r="G301" s="4"/>
      <c r="H301" s="4"/>
      <c r="I301" s="4"/>
      <c r="J301" s="4"/>
    </row>
    <row r="302" spans="1:10" x14ac:dyDescent="0.25">
      <c r="A302" s="4"/>
      <c r="B302" s="5" t="str">
        <f t="shared" si="4"/>
        <v/>
      </c>
      <c r="C302" s="6"/>
      <c r="D302" s="6"/>
      <c r="E302" s="4"/>
      <c r="F302" s="4"/>
      <c r="G302" s="4"/>
      <c r="H302" s="4"/>
      <c r="I302" s="4"/>
      <c r="J302" s="4"/>
    </row>
    <row r="303" spans="1:10" x14ac:dyDescent="0.25">
      <c r="A303" s="4"/>
      <c r="B303" s="5" t="str">
        <f t="shared" si="4"/>
        <v/>
      </c>
      <c r="C303" s="6"/>
      <c r="D303" s="6"/>
      <c r="E303" s="4"/>
      <c r="F303" s="4"/>
      <c r="G303" s="4"/>
      <c r="H303" s="4"/>
      <c r="I303" s="4"/>
      <c r="J303" s="4"/>
    </row>
    <row r="304" spans="1:10" x14ac:dyDescent="0.25">
      <c r="A304" s="4"/>
      <c r="B304" s="5" t="str">
        <f t="shared" si="4"/>
        <v/>
      </c>
      <c r="C304" s="6"/>
      <c r="D304" s="6"/>
      <c r="E304" s="4"/>
      <c r="F304" s="4"/>
      <c r="G304" s="4"/>
      <c r="H304" s="4"/>
      <c r="I304" s="4"/>
      <c r="J304" s="4"/>
    </row>
    <row r="305" spans="1:10" x14ac:dyDescent="0.25">
      <c r="A305" s="4"/>
      <c r="B305" s="5" t="str">
        <f t="shared" si="4"/>
        <v/>
      </c>
      <c r="C305" s="6"/>
      <c r="D305" s="6"/>
      <c r="E305" s="4"/>
      <c r="F305" s="4"/>
      <c r="G305" s="4"/>
      <c r="H305" s="4"/>
      <c r="I305" s="4"/>
      <c r="J305" s="4"/>
    </row>
    <row r="306" spans="1:10" x14ac:dyDescent="0.25">
      <c r="A306" s="4"/>
      <c r="B306" s="5" t="str">
        <f t="shared" si="4"/>
        <v/>
      </c>
      <c r="C306" s="6"/>
      <c r="D306" s="6"/>
      <c r="E306" s="4"/>
      <c r="F306" s="4"/>
      <c r="G306" s="4"/>
      <c r="H306" s="4"/>
      <c r="I306" s="4"/>
      <c r="J306" s="4"/>
    </row>
    <row r="307" spans="1:10" x14ac:dyDescent="0.25">
      <c r="A307" s="4"/>
      <c r="B307" s="5" t="str">
        <f t="shared" si="4"/>
        <v/>
      </c>
      <c r="C307" s="6"/>
      <c r="D307" s="6"/>
      <c r="E307" s="4"/>
      <c r="F307" s="4"/>
      <c r="G307" s="4"/>
      <c r="H307" s="4"/>
      <c r="I307" s="4"/>
      <c r="J307" s="4"/>
    </row>
    <row r="308" spans="1:10" x14ac:dyDescent="0.25">
      <c r="A308" s="4"/>
      <c r="B308" s="5" t="str">
        <f t="shared" si="4"/>
        <v/>
      </c>
      <c r="C308" s="6"/>
      <c r="D308" s="6"/>
      <c r="E308" s="4"/>
      <c r="F308" s="4"/>
      <c r="G308" s="4"/>
      <c r="H308" s="4"/>
      <c r="I308" s="4"/>
      <c r="J308" s="4"/>
    </row>
    <row r="309" spans="1:10" x14ac:dyDescent="0.25">
      <c r="A309" s="4"/>
      <c r="B309" s="5" t="str">
        <f t="shared" si="4"/>
        <v/>
      </c>
      <c r="C309" s="6"/>
      <c r="D309" s="6"/>
      <c r="E309" s="4"/>
      <c r="F309" s="4"/>
      <c r="G309" s="4"/>
      <c r="H309" s="4"/>
      <c r="I309" s="4"/>
      <c r="J309" s="4"/>
    </row>
    <row r="310" spans="1:10" x14ac:dyDescent="0.25">
      <c r="A310" s="4"/>
      <c r="B310" s="5" t="str">
        <f t="shared" si="4"/>
        <v/>
      </c>
      <c r="C310" s="6"/>
      <c r="D310" s="6"/>
      <c r="E310" s="4"/>
      <c r="F310" s="4"/>
      <c r="G310" s="4"/>
      <c r="H310" s="4"/>
      <c r="I310" s="4"/>
      <c r="J310" s="4"/>
    </row>
    <row r="311" spans="1:10" x14ac:dyDescent="0.25">
      <c r="A311" s="4"/>
      <c r="B311" s="5" t="str">
        <f t="shared" si="4"/>
        <v/>
      </c>
      <c r="C311" s="6"/>
      <c r="D311" s="6"/>
      <c r="E311" s="4"/>
      <c r="F311" s="4"/>
      <c r="G311" s="4"/>
      <c r="H311" s="4"/>
      <c r="I311" s="4"/>
      <c r="J311" s="4"/>
    </row>
    <row r="312" spans="1:10" x14ac:dyDescent="0.25">
      <c r="A312" s="4"/>
      <c r="B312" s="5" t="str">
        <f t="shared" si="4"/>
        <v/>
      </c>
      <c r="C312" s="6"/>
      <c r="D312" s="6"/>
      <c r="E312" s="4"/>
      <c r="F312" s="4"/>
      <c r="G312" s="4"/>
      <c r="H312" s="4"/>
      <c r="I312" s="4"/>
      <c r="J312" s="4"/>
    </row>
    <row r="313" spans="1:10" x14ac:dyDescent="0.25">
      <c r="A313" s="4"/>
      <c r="B313" s="5" t="str">
        <f t="shared" si="4"/>
        <v/>
      </c>
      <c r="C313" s="6"/>
      <c r="D313" s="6"/>
      <c r="E313" s="4"/>
      <c r="F313" s="4"/>
      <c r="G313" s="4"/>
      <c r="H313" s="4"/>
      <c r="I313" s="4"/>
      <c r="J313" s="4"/>
    </row>
    <row r="314" spans="1:10" x14ac:dyDescent="0.25">
      <c r="A314" s="4"/>
      <c r="B314" s="5" t="str">
        <f t="shared" si="4"/>
        <v/>
      </c>
      <c r="C314" s="6"/>
      <c r="D314" s="6"/>
      <c r="E314" s="4"/>
      <c r="F314" s="4"/>
      <c r="G314" s="4"/>
      <c r="H314" s="4"/>
      <c r="I314" s="4"/>
      <c r="J314" s="4"/>
    </row>
    <row r="315" spans="1:10" x14ac:dyDescent="0.25">
      <c r="A315" s="4"/>
      <c r="B315" s="5" t="str">
        <f t="shared" si="4"/>
        <v/>
      </c>
      <c r="C315" s="6"/>
      <c r="D315" s="6"/>
      <c r="E315" s="4"/>
      <c r="F315" s="4"/>
      <c r="G315" s="4"/>
      <c r="H315" s="4"/>
      <c r="I315" s="4"/>
      <c r="J315" s="4"/>
    </row>
    <row r="316" spans="1:10" x14ac:dyDescent="0.25">
      <c r="A316" s="4"/>
      <c r="B316" s="5" t="str">
        <f t="shared" si="4"/>
        <v/>
      </c>
      <c r="C316" s="6"/>
      <c r="D316" s="6"/>
      <c r="E316" s="4"/>
      <c r="F316" s="4"/>
      <c r="G316" s="4"/>
      <c r="H316" s="4"/>
      <c r="I316" s="4"/>
      <c r="J316" s="4"/>
    </row>
    <row r="317" spans="1:10" x14ac:dyDescent="0.25">
      <c r="A317" s="4"/>
      <c r="B317" s="5" t="str">
        <f t="shared" si="4"/>
        <v/>
      </c>
      <c r="C317" s="6"/>
      <c r="D317" s="6"/>
      <c r="E317" s="4"/>
      <c r="F317" s="4"/>
      <c r="G317" s="4"/>
      <c r="H317" s="4"/>
      <c r="I317" s="4"/>
      <c r="J317" s="4"/>
    </row>
    <row r="318" spans="1:10" x14ac:dyDescent="0.25">
      <c r="A318" s="4"/>
      <c r="B318" s="5" t="str">
        <f t="shared" si="4"/>
        <v/>
      </c>
      <c r="C318" s="6"/>
      <c r="D318" s="6"/>
      <c r="E318" s="4"/>
      <c r="F318" s="4"/>
      <c r="G318" s="4"/>
      <c r="H318" s="4"/>
      <c r="I318" s="4"/>
      <c r="J318" s="4"/>
    </row>
    <row r="319" spans="1:10" x14ac:dyDescent="0.25">
      <c r="A319" s="4"/>
      <c r="B319" s="5" t="str">
        <f t="shared" si="4"/>
        <v/>
      </c>
      <c r="C319" s="6"/>
      <c r="D319" s="6"/>
      <c r="E319" s="4"/>
      <c r="F319" s="4"/>
      <c r="G319" s="4"/>
      <c r="H319" s="4"/>
      <c r="I319" s="4"/>
      <c r="J319" s="4"/>
    </row>
    <row r="320" spans="1:10" x14ac:dyDescent="0.25">
      <c r="A320" s="4"/>
      <c r="B320" s="5" t="str">
        <f t="shared" si="4"/>
        <v/>
      </c>
      <c r="C320" s="6"/>
      <c r="D320" s="6"/>
      <c r="E320" s="4"/>
      <c r="F320" s="4"/>
      <c r="G320" s="4"/>
      <c r="H320" s="4"/>
      <c r="I320" s="4"/>
      <c r="J320" s="4"/>
    </row>
    <row r="321" spans="1:10" x14ac:dyDescent="0.25">
      <c r="A321" s="4"/>
      <c r="B321" s="5" t="str">
        <f t="shared" si="4"/>
        <v/>
      </c>
      <c r="C321" s="6"/>
      <c r="D321" s="6"/>
      <c r="E321" s="4"/>
      <c r="F321" s="4"/>
      <c r="G321" s="4"/>
      <c r="H321" s="4"/>
      <c r="I321" s="4"/>
      <c r="J321" s="4"/>
    </row>
    <row r="322" spans="1:10" x14ac:dyDescent="0.25">
      <c r="A322" s="4"/>
      <c r="B322" s="5" t="str">
        <f t="shared" ref="B322:B385" si="5">IF($A322="","",IFERROR(INDEX(AccountCode,MATCH($A322,AccountName,0)),IFERROR(INDEX(AccountCode,MATCH($A322,AccountCode,0)),"NOT FOUND")))</f>
        <v/>
      </c>
      <c r="C322" s="6"/>
      <c r="D322" s="6"/>
      <c r="E322" s="4"/>
      <c r="F322" s="4"/>
      <c r="G322" s="4"/>
      <c r="H322" s="4"/>
      <c r="I322" s="4"/>
      <c r="J322" s="4"/>
    </row>
    <row r="323" spans="1:10" x14ac:dyDescent="0.25">
      <c r="A323" s="4"/>
      <c r="B323" s="5" t="str">
        <f t="shared" si="5"/>
        <v/>
      </c>
      <c r="C323" s="6"/>
      <c r="D323" s="6"/>
      <c r="E323" s="4"/>
      <c r="F323" s="4"/>
      <c r="G323" s="4"/>
      <c r="H323" s="4"/>
      <c r="I323" s="4"/>
      <c r="J323" s="4"/>
    </row>
    <row r="324" spans="1:10" x14ac:dyDescent="0.25">
      <c r="A324" s="4"/>
      <c r="B324" s="5" t="str">
        <f t="shared" si="5"/>
        <v/>
      </c>
      <c r="C324" s="6"/>
      <c r="D324" s="6"/>
      <c r="E324" s="4"/>
      <c r="F324" s="4"/>
      <c r="G324" s="4"/>
      <c r="H324" s="4"/>
      <c r="I324" s="4"/>
      <c r="J324" s="4"/>
    </row>
    <row r="325" spans="1:10" x14ac:dyDescent="0.25">
      <c r="A325" s="4"/>
      <c r="B325" s="5" t="str">
        <f t="shared" si="5"/>
        <v/>
      </c>
      <c r="C325" s="6"/>
      <c r="D325" s="6"/>
      <c r="E325" s="4"/>
      <c r="F325" s="4"/>
      <c r="G325" s="4"/>
      <c r="H325" s="4"/>
      <c r="I325" s="4"/>
      <c r="J325" s="4"/>
    </row>
    <row r="326" spans="1:10" x14ac:dyDescent="0.25">
      <c r="A326" s="4"/>
      <c r="B326" s="5" t="str">
        <f t="shared" si="5"/>
        <v/>
      </c>
      <c r="C326" s="6"/>
      <c r="D326" s="6"/>
      <c r="E326" s="4"/>
      <c r="F326" s="4"/>
      <c r="G326" s="4"/>
      <c r="H326" s="4"/>
      <c r="I326" s="4"/>
      <c r="J326" s="4"/>
    </row>
    <row r="327" spans="1:10" x14ac:dyDescent="0.25">
      <c r="A327" s="4"/>
      <c r="B327" s="5" t="str">
        <f t="shared" si="5"/>
        <v/>
      </c>
      <c r="C327" s="6"/>
      <c r="D327" s="6"/>
      <c r="E327" s="4"/>
      <c r="F327" s="4"/>
      <c r="G327" s="4"/>
      <c r="H327" s="4"/>
      <c r="I327" s="4"/>
      <c r="J327" s="4"/>
    </row>
    <row r="328" spans="1:10" x14ac:dyDescent="0.25">
      <c r="A328" s="4"/>
      <c r="B328" s="5" t="str">
        <f t="shared" si="5"/>
        <v/>
      </c>
      <c r="C328" s="6"/>
      <c r="D328" s="6"/>
      <c r="E328" s="4"/>
      <c r="F328" s="4"/>
      <c r="G328" s="4"/>
      <c r="H328" s="4"/>
      <c r="I328" s="4"/>
      <c r="J328" s="4"/>
    </row>
    <row r="329" spans="1:10" x14ac:dyDescent="0.25">
      <c r="A329" s="4"/>
      <c r="B329" s="5" t="str">
        <f t="shared" si="5"/>
        <v/>
      </c>
      <c r="C329" s="6"/>
      <c r="D329" s="6"/>
      <c r="E329" s="4"/>
      <c r="F329" s="4"/>
      <c r="G329" s="4"/>
      <c r="H329" s="4"/>
      <c r="I329" s="4"/>
      <c r="J329" s="4"/>
    </row>
    <row r="330" spans="1:10" x14ac:dyDescent="0.25">
      <c r="A330" s="4"/>
      <c r="B330" s="5" t="str">
        <f t="shared" si="5"/>
        <v/>
      </c>
      <c r="C330" s="6"/>
      <c r="D330" s="6"/>
      <c r="E330" s="4"/>
      <c r="F330" s="4"/>
      <c r="G330" s="4"/>
      <c r="H330" s="4"/>
      <c r="I330" s="4"/>
      <c r="J330" s="4"/>
    </row>
    <row r="331" spans="1:10" x14ac:dyDescent="0.25">
      <c r="A331" s="4"/>
      <c r="B331" s="5" t="str">
        <f t="shared" si="5"/>
        <v/>
      </c>
      <c r="C331" s="6"/>
      <c r="D331" s="6"/>
      <c r="E331" s="4"/>
      <c r="F331" s="4"/>
      <c r="G331" s="4"/>
      <c r="H331" s="4"/>
      <c r="I331" s="4"/>
      <c r="J331" s="4"/>
    </row>
    <row r="332" spans="1:10" x14ac:dyDescent="0.25">
      <c r="A332" s="4"/>
      <c r="B332" s="5" t="str">
        <f t="shared" si="5"/>
        <v/>
      </c>
      <c r="C332" s="6"/>
      <c r="D332" s="6"/>
      <c r="E332" s="4"/>
      <c r="F332" s="4"/>
      <c r="G332" s="4"/>
      <c r="H332" s="4"/>
      <c r="I332" s="4"/>
      <c r="J332" s="4"/>
    </row>
    <row r="333" spans="1:10" x14ac:dyDescent="0.25">
      <c r="A333" s="4"/>
      <c r="B333" s="5" t="str">
        <f t="shared" si="5"/>
        <v/>
      </c>
      <c r="C333" s="6"/>
      <c r="D333" s="6"/>
      <c r="E333" s="4"/>
      <c r="F333" s="4"/>
      <c r="G333" s="4"/>
      <c r="H333" s="4"/>
      <c r="I333" s="4"/>
      <c r="J333" s="4"/>
    </row>
    <row r="334" spans="1:10" x14ac:dyDescent="0.25">
      <c r="A334" s="4"/>
      <c r="B334" s="5" t="str">
        <f t="shared" si="5"/>
        <v/>
      </c>
      <c r="C334" s="6"/>
      <c r="D334" s="6"/>
      <c r="E334" s="4"/>
      <c r="F334" s="4"/>
      <c r="G334" s="4"/>
      <c r="H334" s="4"/>
      <c r="I334" s="4"/>
      <c r="J334" s="4"/>
    </row>
    <row r="335" spans="1:10" x14ac:dyDescent="0.25">
      <c r="A335" s="4"/>
      <c r="B335" s="5" t="str">
        <f t="shared" si="5"/>
        <v/>
      </c>
      <c r="C335" s="6"/>
      <c r="D335" s="6"/>
      <c r="E335" s="4"/>
      <c r="F335" s="4"/>
      <c r="G335" s="4"/>
      <c r="H335" s="4"/>
      <c r="I335" s="4"/>
      <c r="J335" s="4"/>
    </row>
    <row r="336" spans="1:10" x14ac:dyDescent="0.25">
      <c r="A336" s="4"/>
      <c r="B336" s="5" t="str">
        <f t="shared" si="5"/>
        <v/>
      </c>
      <c r="C336" s="6"/>
      <c r="D336" s="6"/>
      <c r="E336" s="4"/>
      <c r="F336" s="4"/>
      <c r="G336" s="4"/>
      <c r="H336" s="4"/>
      <c r="I336" s="4"/>
      <c r="J336" s="4"/>
    </row>
    <row r="337" spans="1:10" x14ac:dyDescent="0.25">
      <c r="A337" s="4"/>
      <c r="B337" s="5" t="str">
        <f t="shared" si="5"/>
        <v/>
      </c>
      <c r="C337" s="6"/>
      <c r="D337" s="6"/>
      <c r="E337" s="4"/>
      <c r="F337" s="4"/>
      <c r="G337" s="4"/>
      <c r="H337" s="4"/>
      <c r="I337" s="4"/>
      <c r="J337" s="4"/>
    </row>
    <row r="338" spans="1:10" x14ac:dyDescent="0.25">
      <c r="A338" s="4"/>
      <c r="B338" s="5" t="str">
        <f t="shared" si="5"/>
        <v/>
      </c>
      <c r="C338" s="6"/>
      <c r="D338" s="6"/>
      <c r="E338" s="4"/>
      <c r="F338" s="4"/>
      <c r="G338" s="4"/>
      <c r="H338" s="4"/>
      <c r="I338" s="4"/>
      <c r="J338" s="4"/>
    </row>
    <row r="339" spans="1:10" x14ac:dyDescent="0.25">
      <c r="A339" s="4"/>
      <c r="B339" s="5" t="str">
        <f t="shared" si="5"/>
        <v/>
      </c>
      <c r="C339" s="6"/>
      <c r="D339" s="6"/>
      <c r="E339" s="4"/>
      <c r="F339" s="4"/>
      <c r="G339" s="4"/>
      <c r="H339" s="4"/>
      <c r="I339" s="4"/>
      <c r="J339" s="4"/>
    </row>
    <row r="340" spans="1:10" x14ac:dyDescent="0.25">
      <c r="A340" s="4"/>
      <c r="B340" s="5" t="str">
        <f t="shared" si="5"/>
        <v/>
      </c>
      <c r="C340" s="6"/>
      <c r="D340" s="6"/>
      <c r="E340" s="4"/>
      <c r="F340" s="4"/>
      <c r="G340" s="4"/>
      <c r="H340" s="4"/>
      <c r="I340" s="4"/>
      <c r="J340" s="4"/>
    </row>
    <row r="341" spans="1:10" x14ac:dyDescent="0.25">
      <c r="A341" s="4"/>
      <c r="B341" s="5" t="str">
        <f t="shared" si="5"/>
        <v/>
      </c>
      <c r="C341" s="6"/>
      <c r="D341" s="6"/>
      <c r="E341" s="4"/>
      <c r="F341" s="4"/>
      <c r="G341" s="4"/>
      <c r="H341" s="4"/>
      <c r="I341" s="4"/>
      <c r="J341" s="4"/>
    </row>
    <row r="342" spans="1:10" x14ac:dyDescent="0.25">
      <c r="A342" s="4"/>
      <c r="B342" s="5" t="str">
        <f t="shared" si="5"/>
        <v/>
      </c>
      <c r="C342" s="6"/>
      <c r="D342" s="6"/>
      <c r="E342" s="4"/>
      <c r="F342" s="4"/>
      <c r="G342" s="4"/>
      <c r="H342" s="4"/>
      <c r="I342" s="4"/>
      <c r="J342" s="4"/>
    </row>
    <row r="343" spans="1:10" x14ac:dyDescent="0.25">
      <c r="A343" s="4"/>
      <c r="B343" s="5" t="str">
        <f t="shared" si="5"/>
        <v/>
      </c>
      <c r="C343" s="6"/>
      <c r="D343" s="6"/>
      <c r="E343" s="4"/>
      <c r="F343" s="4"/>
      <c r="G343" s="4"/>
      <c r="H343" s="4"/>
      <c r="I343" s="4"/>
      <c r="J343" s="4"/>
    </row>
    <row r="344" spans="1:10" x14ac:dyDescent="0.25">
      <c r="A344" s="4"/>
      <c r="B344" s="5" t="str">
        <f t="shared" si="5"/>
        <v/>
      </c>
      <c r="C344" s="6"/>
      <c r="D344" s="6"/>
      <c r="E344" s="4"/>
      <c r="F344" s="4"/>
      <c r="G344" s="4"/>
      <c r="H344" s="4"/>
      <c r="I344" s="4"/>
      <c r="J344" s="4"/>
    </row>
    <row r="345" spans="1:10" x14ac:dyDescent="0.25">
      <c r="A345" s="4"/>
      <c r="B345" s="5" t="str">
        <f t="shared" si="5"/>
        <v/>
      </c>
      <c r="C345" s="6"/>
      <c r="D345" s="6"/>
      <c r="E345" s="4"/>
      <c r="F345" s="4"/>
      <c r="G345" s="4"/>
      <c r="H345" s="4"/>
      <c r="I345" s="4"/>
      <c r="J345" s="4"/>
    </row>
    <row r="346" spans="1:10" x14ac:dyDescent="0.25">
      <c r="A346" s="4"/>
      <c r="B346" s="5" t="str">
        <f t="shared" si="5"/>
        <v/>
      </c>
      <c r="C346" s="6"/>
      <c r="D346" s="6"/>
      <c r="E346" s="4"/>
      <c r="F346" s="4"/>
      <c r="G346" s="4"/>
      <c r="H346" s="4"/>
      <c r="I346" s="4"/>
      <c r="J346" s="4"/>
    </row>
    <row r="347" spans="1:10" x14ac:dyDescent="0.25">
      <c r="A347" s="4"/>
      <c r="B347" s="5" t="str">
        <f t="shared" si="5"/>
        <v/>
      </c>
      <c r="C347" s="6"/>
      <c r="D347" s="6"/>
      <c r="E347" s="4"/>
      <c r="F347" s="4"/>
      <c r="G347" s="4"/>
      <c r="H347" s="4"/>
      <c r="I347" s="4"/>
      <c r="J347" s="4"/>
    </row>
    <row r="348" spans="1:10" x14ac:dyDescent="0.25">
      <c r="A348" s="4"/>
      <c r="B348" s="5" t="str">
        <f t="shared" si="5"/>
        <v/>
      </c>
      <c r="C348" s="6"/>
      <c r="D348" s="6"/>
      <c r="E348" s="4"/>
      <c r="F348" s="4"/>
      <c r="G348" s="4"/>
      <c r="H348" s="4"/>
      <c r="I348" s="4"/>
      <c r="J348" s="4"/>
    </row>
    <row r="349" spans="1:10" x14ac:dyDescent="0.25">
      <c r="A349" s="4"/>
      <c r="B349" s="5" t="str">
        <f t="shared" si="5"/>
        <v/>
      </c>
      <c r="C349" s="6"/>
      <c r="D349" s="6"/>
      <c r="E349" s="4"/>
      <c r="F349" s="4"/>
      <c r="G349" s="4"/>
      <c r="H349" s="4"/>
      <c r="I349" s="4"/>
      <c r="J349" s="4"/>
    </row>
    <row r="350" spans="1:10" x14ac:dyDescent="0.25">
      <c r="A350" s="4"/>
      <c r="B350" s="5" t="str">
        <f t="shared" si="5"/>
        <v/>
      </c>
      <c r="C350" s="6"/>
      <c r="D350" s="6"/>
      <c r="E350" s="4"/>
      <c r="F350" s="4"/>
      <c r="G350" s="4"/>
      <c r="H350" s="4"/>
      <c r="I350" s="4"/>
      <c r="J350" s="4"/>
    </row>
    <row r="351" spans="1:10" x14ac:dyDescent="0.25">
      <c r="A351" s="4"/>
      <c r="B351" s="5" t="str">
        <f t="shared" si="5"/>
        <v/>
      </c>
      <c r="C351" s="6"/>
      <c r="D351" s="6"/>
      <c r="E351" s="4"/>
      <c r="F351" s="4"/>
      <c r="G351" s="4"/>
      <c r="H351" s="4"/>
      <c r="I351" s="4"/>
      <c r="J351" s="4"/>
    </row>
    <row r="352" spans="1:10" x14ac:dyDescent="0.25">
      <c r="A352" s="4"/>
      <c r="B352" s="5" t="str">
        <f t="shared" si="5"/>
        <v/>
      </c>
      <c r="C352" s="6"/>
      <c r="D352" s="6"/>
      <c r="E352" s="4"/>
      <c r="F352" s="4"/>
      <c r="G352" s="4"/>
      <c r="H352" s="4"/>
      <c r="I352" s="4"/>
      <c r="J352" s="4"/>
    </row>
    <row r="353" spans="1:10" x14ac:dyDescent="0.25">
      <c r="A353" s="4"/>
      <c r="B353" s="5" t="str">
        <f t="shared" si="5"/>
        <v/>
      </c>
      <c r="C353" s="6"/>
      <c r="D353" s="6"/>
      <c r="E353" s="4"/>
      <c r="F353" s="4"/>
      <c r="G353" s="4"/>
      <c r="H353" s="4"/>
      <c r="I353" s="4"/>
      <c r="J353" s="4"/>
    </row>
    <row r="354" spans="1:10" x14ac:dyDescent="0.25">
      <c r="A354" s="4"/>
      <c r="B354" s="5" t="str">
        <f t="shared" si="5"/>
        <v/>
      </c>
      <c r="C354" s="6"/>
      <c r="D354" s="6"/>
      <c r="E354" s="4"/>
      <c r="F354" s="4"/>
      <c r="G354" s="4"/>
      <c r="H354" s="4"/>
      <c r="I354" s="4"/>
      <c r="J354" s="4"/>
    </row>
    <row r="355" spans="1:10" x14ac:dyDescent="0.25">
      <c r="A355" s="4"/>
      <c r="B355" s="5" t="str">
        <f t="shared" si="5"/>
        <v/>
      </c>
      <c r="C355" s="6"/>
      <c r="D355" s="6"/>
      <c r="E355" s="4"/>
      <c r="F355" s="4"/>
      <c r="G355" s="4"/>
      <c r="H355" s="4"/>
      <c r="I355" s="4"/>
      <c r="J355" s="4"/>
    </row>
    <row r="356" spans="1:10" x14ac:dyDescent="0.25">
      <c r="A356" s="4"/>
      <c r="B356" s="5" t="str">
        <f t="shared" si="5"/>
        <v/>
      </c>
      <c r="C356" s="6"/>
      <c r="D356" s="6"/>
      <c r="E356" s="4"/>
      <c r="F356" s="4"/>
      <c r="G356" s="4"/>
      <c r="H356" s="4"/>
      <c r="I356" s="4"/>
      <c r="J356" s="4"/>
    </row>
    <row r="357" spans="1:10" x14ac:dyDescent="0.25">
      <c r="A357" s="4"/>
      <c r="B357" s="5" t="str">
        <f t="shared" si="5"/>
        <v/>
      </c>
      <c r="C357" s="6"/>
      <c r="D357" s="6"/>
      <c r="E357" s="4"/>
      <c r="F357" s="4"/>
      <c r="G357" s="4"/>
      <c r="H357" s="4"/>
      <c r="I357" s="4"/>
      <c r="J357" s="4"/>
    </row>
    <row r="358" spans="1:10" x14ac:dyDescent="0.25">
      <c r="A358" s="4"/>
      <c r="B358" s="5" t="str">
        <f t="shared" si="5"/>
        <v/>
      </c>
      <c r="C358" s="6"/>
      <c r="D358" s="6"/>
      <c r="E358" s="4"/>
      <c r="F358" s="4"/>
      <c r="G358" s="4"/>
      <c r="H358" s="4"/>
      <c r="I358" s="4"/>
      <c r="J358" s="4"/>
    </row>
    <row r="359" spans="1:10" x14ac:dyDescent="0.25">
      <c r="A359" s="4"/>
      <c r="B359" s="5" t="str">
        <f t="shared" si="5"/>
        <v/>
      </c>
      <c r="C359" s="6"/>
      <c r="D359" s="6"/>
      <c r="E359" s="4"/>
      <c r="F359" s="4"/>
      <c r="G359" s="4"/>
      <c r="H359" s="4"/>
      <c r="I359" s="4"/>
      <c r="J359" s="4"/>
    </row>
    <row r="360" spans="1:10" x14ac:dyDescent="0.25">
      <c r="A360" s="4"/>
      <c r="B360" s="5" t="str">
        <f t="shared" si="5"/>
        <v/>
      </c>
      <c r="C360" s="6"/>
      <c r="D360" s="6"/>
      <c r="E360" s="4"/>
      <c r="F360" s="4"/>
      <c r="G360" s="4"/>
      <c r="H360" s="4"/>
      <c r="I360" s="4"/>
      <c r="J360" s="4"/>
    </row>
    <row r="361" spans="1:10" x14ac:dyDescent="0.25">
      <c r="A361" s="4"/>
      <c r="B361" s="5" t="str">
        <f t="shared" si="5"/>
        <v/>
      </c>
      <c r="C361" s="6"/>
      <c r="D361" s="6"/>
      <c r="E361" s="4"/>
      <c r="F361" s="4"/>
      <c r="G361" s="4"/>
      <c r="H361" s="4"/>
      <c r="I361" s="4"/>
      <c r="J361" s="4"/>
    </row>
    <row r="362" spans="1:10" x14ac:dyDescent="0.25">
      <c r="A362" s="4"/>
      <c r="B362" s="5" t="str">
        <f t="shared" si="5"/>
        <v/>
      </c>
      <c r="C362" s="6"/>
      <c r="D362" s="6"/>
      <c r="E362" s="4"/>
      <c r="F362" s="4"/>
      <c r="G362" s="4"/>
      <c r="H362" s="4"/>
      <c r="I362" s="4"/>
      <c r="J362" s="4"/>
    </row>
    <row r="363" spans="1:10" x14ac:dyDescent="0.25">
      <c r="A363" s="4"/>
      <c r="B363" s="5" t="str">
        <f t="shared" si="5"/>
        <v/>
      </c>
      <c r="C363" s="6"/>
      <c r="D363" s="6"/>
      <c r="E363" s="4"/>
      <c r="F363" s="4"/>
      <c r="G363" s="4"/>
      <c r="H363" s="4"/>
      <c r="I363" s="4"/>
      <c r="J363" s="4"/>
    </row>
    <row r="364" spans="1:10" x14ac:dyDescent="0.25">
      <c r="A364" s="4"/>
      <c r="B364" s="5" t="str">
        <f t="shared" si="5"/>
        <v/>
      </c>
      <c r="C364" s="6"/>
      <c r="D364" s="6"/>
      <c r="E364" s="4"/>
      <c r="F364" s="4"/>
      <c r="G364" s="4"/>
      <c r="H364" s="4"/>
      <c r="I364" s="4"/>
      <c r="J364" s="4"/>
    </row>
    <row r="365" spans="1:10" x14ac:dyDescent="0.25">
      <c r="A365" s="4"/>
      <c r="B365" s="5" t="str">
        <f t="shared" si="5"/>
        <v/>
      </c>
      <c r="C365" s="6"/>
      <c r="D365" s="6"/>
      <c r="E365" s="4"/>
      <c r="F365" s="4"/>
      <c r="G365" s="4"/>
      <c r="H365" s="4"/>
      <c r="I365" s="4"/>
      <c r="J365" s="4"/>
    </row>
    <row r="366" spans="1:10" x14ac:dyDescent="0.25">
      <c r="A366" s="4"/>
      <c r="B366" s="5" t="str">
        <f t="shared" si="5"/>
        <v/>
      </c>
      <c r="C366" s="6"/>
      <c r="D366" s="6"/>
      <c r="E366" s="4"/>
      <c r="F366" s="4"/>
      <c r="G366" s="4"/>
      <c r="H366" s="4"/>
      <c r="I366" s="4"/>
      <c r="J366" s="4"/>
    </row>
    <row r="367" spans="1:10" x14ac:dyDescent="0.25">
      <c r="A367" s="4"/>
      <c r="B367" s="5" t="str">
        <f t="shared" si="5"/>
        <v/>
      </c>
      <c r="C367" s="6"/>
      <c r="D367" s="6"/>
      <c r="E367" s="4"/>
      <c r="F367" s="4"/>
      <c r="G367" s="4"/>
      <c r="H367" s="4"/>
      <c r="I367" s="4"/>
      <c r="J367" s="4"/>
    </row>
    <row r="368" spans="1:10" x14ac:dyDescent="0.25">
      <c r="A368" s="4"/>
      <c r="B368" s="5" t="str">
        <f t="shared" si="5"/>
        <v/>
      </c>
      <c r="C368" s="6"/>
      <c r="D368" s="6"/>
      <c r="E368" s="4"/>
      <c r="F368" s="4"/>
      <c r="G368" s="4"/>
      <c r="H368" s="4"/>
      <c r="I368" s="4"/>
      <c r="J368" s="4"/>
    </row>
    <row r="369" spans="1:10" x14ac:dyDescent="0.25">
      <c r="A369" s="4"/>
      <c r="B369" s="5" t="str">
        <f t="shared" si="5"/>
        <v/>
      </c>
      <c r="C369" s="6"/>
      <c r="D369" s="6"/>
      <c r="E369" s="4"/>
      <c r="F369" s="4"/>
      <c r="G369" s="4"/>
      <c r="H369" s="4"/>
      <c r="I369" s="4"/>
      <c r="J369" s="4"/>
    </row>
    <row r="370" spans="1:10" x14ac:dyDescent="0.25">
      <c r="A370" s="4"/>
      <c r="B370" s="5" t="str">
        <f t="shared" si="5"/>
        <v/>
      </c>
      <c r="C370" s="6"/>
      <c r="D370" s="6"/>
      <c r="E370" s="4"/>
      <c r="F370" s="4"/>
      <c r="G370" s="4"/>
      <c r="H370" s="4"/>
      <c r="I370" s="4"/>
      <c r="J370" s="4"/>
    </row>
    <row r="371" spans="1:10" x14ac:dyDescent="0.25">
      <c r="A371" s="4"/>
      <c r="B371" s="5" t="str">
        <f t="shared" si="5"/>
        <v/>
      </c>
      <c r="C371" s="6"/>
      <c r="D371" s="6"/>
      <c r="E371" s="4"/>
      <c r="F371" s="4"/>
      <c r="G371" s="4"/>
      <c r="H371" s="4"/>
      <c r="I371" s="4"/>
      <c r="J371" s="4"/>
    </row>
    <row r="372" spans="1:10" x14ac:dyDescent="0.25">
      <c r="A372" s="4"/>
      <c r="B372" s="5" t="str">
        <f t="shared" si="5"/>
        <v/>
      </c>
      <c r="C372" s="6"/>
      <c r="D372" s="6"/>
      <c r="E372" s="4"/>
      <c r="F372" s="4"/>
      <c r="G372" s="4"/>
      <c r="H372" s="4"/>
      <c r="I372" s="4"/>
      <c r="J372" s="4"/>
    </row>
    <row r="373" spans="1:10" x14ac:dyDescent="0.25">
      <c r="A373" s="4"/>
      <c r="B373" s="5" t="str">
        <f t="shared" si="5"/>
        <v/>
      </c>
      <c r="C373" s="6"/>
      <c r="D373" s="6"/>
      <c r="E373" s="4"/>
      <c r="F373" s="4"/>
      <c r="G373" s="4"/>
      <c r="H373" s="4"/>
      <c r="I373" s="4"/>
      <c r="J373" s="4"/>
    </row>
    <row r="374" spans="1:10" x14ac:dyDescent="0.25">
      <c r="A374" s="4"/>
      <c r="B374" s="5" t="str">
        <f t="shared" si="5"/>
        <v/>
      </c>
      <c r="C374" s="6"/>
      <c r="D374" s="6"/>
      <c r="E374" s="4"/>
      <c r="F374" s="4"/>
      <c r="G374" s="4"/>
      <c r="H374" s="4"/>
      <c r="I374" s="4"/>
      <c r="J374" s="4"/>
    </row>
    <row r="375" spans="1:10" x14ac:dyDescent="0.25">
      <c r="A375" s="4"/>
      <c r="B375" s="5" t="str">
        <f t="shared" si="5"/>
        <v/>
      </c>
      <c r="C375" s="6"/>
      <c r="D375" s="6"/>
      <c r="E375" s="4"/>
      <c r="F375" s="4"/>
      <c r="G375" s="4"/>
      <c r="H375" s="4"/>
      <c r="I375" s="4"/>
      <c r="J375" s="4"/>
    </row>
    <row r="376" spans="1:10" x14ac:dyDescent="0.25">
      <c r="A376" s="4"/>
      <c r="B376" s="5" t="str">
        <f t="shared" si="5"/>
        <v/>
      </c>
      <c r="C376" s="6"/>
      <c r="D376" s="6"/>
      <c r="E376" s="4"/>
      <c r="F376" s="4"/>
      <c r="G376" s="4"/>
      <c r="H376" s="4"/>
      <c r="I376" s="4"/>
      <c r="J376" s="4"/>
    </row>
    <row r="377" spans="1:10" x14ac:dyDescent="0.25">
      <c r="A377" s="4"/>
      <c r="B377" s="5" t="str">
        <f t="shared" si="5"/>
        <v/>
      </c>
      <c r="C377" s="6"/>
      <c r="D377" s="6"/>
      <c r="E377" s="4"/>
      <c r="F377" s="4"/>
      <c r="G377" s="4"/>
      <c r="H377" s="4"/>
      <c r="I377" s="4"/>
      <c r="J377" s="4"/>
    </row>
    <row r="378" spans="1:10" x14ac:dyDescent="0.25">
      <c r="A378" s="4"/>
      <c r="B378" s="5" t="str">
        <f t="shared" si="5"/>
        <v/>
      </c>
      <c r="C378" s="6"/>
      <c r="D378" s="6"/>
      <c r="E378" s="4"/>
      <c r="F378" s="4"/>
      <c r="G378" s="4"/>
      <c r="H378" s="4"/>
      <c r="I378" s="4"/>
      <c r="J378" s="4"/>
    </row>
    <row r="379" spans="1:10" x14ac:dyDescent="0.25">
      <c r="A379" s="4"/>
      <c r="B379" s="5" t="str">
        <f t="shared" si="5"/>
        <v/>
      </c>
      <c r="C379" s="6"/>
      <c r="D379" s="6"/>
      <c r="E379" s="4"/>
      <c r="F379" s="4"/>
      <c r="G379" s="4"/>
      <c r="H379" s="4"/>
      <c r="I379" s="4"/>
      <c r="J379" s="4"/>
    </row>
    <row r="380" spans="1:10" x14ac:dyDescent="0.25">
      <c r="A380" s="4"/>
      <c r="B380" s="5" t="str">
        <f t="shared" si="5"/>
        <v/>
      </c>
      <c r="C380" s="6"/>
      <c r="D380" s="6"/>
      <c r="E380" s="4"/>
      <c r="F380" s="4"/>
      <c r="G380" s="4"/>
      <c r="H380" s="4"/>
      <c r="I380" s="4"/>
      <c r="J380" s="4"/>
    </row>
    <row r="381" spans="1:10" x14ac:dyDescent="0.25">
      <c r="A381" s="4"/>
      <c r="B381" s="5" t="str">
        <f t="shared" si="5"/>
        <v/>
      </c>
      <c r="C381" s="6"/>
      <c r="D381" s="6"/>
      <c r="E381" s="4"/>
      <c r="F381" s="4"/>
      <c r="G381" s="4"/>
      <c r="H381" s="4"/>
      <c r="I381" s="4"/>
      <c r="J381" s="4"/>
    </row>
    <row r="382" spans="1:10" x14ac:dyDescent="0.25">
      <c r="A382" s="4"/>
      <c r="B382" s="5" t="str">
        <f t="shared" si="5"/>
        <v/>
      </c>
      <c r="C382" s="6"/>
      <c r="D382" s="6"/>
      <c r="E382" s="4"/>
      <c r="F382" s="4"/>
      <c r="G382" s="4"/>
      <c r="H382" s="4"/>
      <c r="I382" s="4"/>
      <c r="J382" s="4"/>
    </row>
    <row r="383" spans="1:10" x14ac:dyDescent="0.25">
      <c r="A383" s="4"/>
      <c r="B383" s="5" t="str">
        <f t="shared" si="5"/>
        <v/>
      </c>
      <c r="C383" s="6"/>
      <c r="D383" s="6"/>
      <c r="E383" s="4"/>
      <c r="F383" s="4"/>
      <c r="G383" s="4"/>
      <c r="H383" s="4"/>
      <c r="I383" s="4"/>
      <c r="J383" s="4"/>
    </row>
    <row r="384" spans="1:10" x14ac:dyDescent="0.25">
      <c r="A384" s="4"/>
      <c r="B384" s="5" t="str">
        <f t="shared" si="5"/>
        <v/>
      </c>
      <c r="C384" s="6"/>
      <c r="D384" s="6"/>
      <c r="E384" s="4"/>
      <c r="F384" s="4"/>
      <c r="G384" s="4"/>
      <c r="H384" s="4"/>
      <c r="I384" s="4"/>
      <c r="J384" s="4"/>
    </row>
    <row r="385" spans="1:10" x14ac:dyDescent="0.25">
      <c r="A385" s="4"/>
      <c r="B385" s="5" t="str">
        <f t="shared" si="5"/>
        <v/>
      </c>
      <c r="C385" s="6"/>
      <c r="D385" s="6"/>
      <c r="E385" s="4"/>
      <c r="F385" s="4"/>
      <c r="G385" s="4"/>
      <c r="H385" s="4"/>
      <c r="I385" s="4"/>
      <c r="J385" s="4"/>
    </row>
    <row r="386" spans="1:10" x14ac:dyDescent="0.25">
      <c r="A386" s="4"/>
      <c r="B386" s="5" t="str">
        <f t="shared" ref="B386:B449" si="6">IF($A386="","",IFERROR(INDEX(AccountCode,MATCH($A386,AccountName,0)),IFERROR(INDEX(AccountCode,MATCH($A386,AccountCode,0)),"NOT FOUND")))</f>
        <v/>
      </c>
      <c r="C386" s="6"/>
      <c r="D386" s="6"/>
      <c r="E386" s="4"/>
      <c r="F386" s="4"/>
      <c r="G386" s="4"/>
      <c r="H386" s="4"/>
      <c r="I386" s="4"/>
      <c r="J386" s="4"/>
    </row>
    <row r="387" spans="1:10" x14ac:dyDescent="0.25">
      <c r="A387" s="4"/>
      <c r="B387" s="5" t="str">
        <f t="shared" si="6"/>
        <v/>
      </c>
      <c r="C387" s="6"/>
      <c r="D387" s="6"/>
      <c r="E387" s="4"/>
      <c r="F387" s="4"/>
      <c r="G387" s="4"/>
      <c r="H387" s="4"/>
      <c r="I387" s="4"/>
      <c r="J387" s="4"/>
    </row>
    <row r="388" spans="1:10" x14ac:dyDescent="0.25">
      <c r="A388" s="4"/>
      <c r="B388" s="5" t="str">
        <f t="shared" si="6"/>
        <v/>
      </c>
      <c r="C388" s="6"/>
      <c r="D388" s="6"/>
      <c r="E388" s="4"/>
      <c r="F388" s="4"/>
      <c r="G388" s="4"/>
      <c r="H388" s="4"/>
      <c r="I388" s="4"/>
      <c r="J388" s="4"/>
    </row>
    <row r="389" spans="1:10" x14ac:dyDescent="0.25">
      <c r="A389" s="4"/>
      <c r="B389" s="5" t="str">
        <f t="shared" si="6"/>
        <v/>
      </c>
      <c r="C389" s="6"/>
      <c r="D389" s="6"/>
      <c r="E389" s="4"/>
      <c r="F389" s="4"/>
      <c r="G389" s="4"/>
      <c r="H389" s="4"/>
      <c r="I389" s="4"/>
      <c r="J389" s="4"/>
    </row>
    <row r="390" spans="1:10" x14ac:dyDescent="0.25">
      <c r="A390" s="4"/>
      <c r="B390" s="5" t="str">
        <f t="shared" si="6"/>
        <v/>
      </c>
      <c r="C390" s="6"/>
      <c r="D390" s="6"/>
      <c r="E390" s="4"/>
      <c r="F390" s="4"/>
      <c r="G390" s="4"/>
      <c r="H390" s="4"/>
      <c r="I390" s="4"/>
      <c r="J390" s="4"/>
    </row>
    <row r="391" spans="1:10" x14ac:dyDescent="0.25">
      <c r="A391" s="4"/>
      <c r="B391" s="5" t="str">
        <f t="shared" si="6"/>
        <v/>
      </c>
      <c r="C391" s="6"/>
      <c r="D391" s="6"/>
      <c r="E391" s="4"/>
      <c r="F391" s="4"/>
      <c r="G391" s="4"/>
      <c r="H391" s="4"/>
      <c r="I391" s="4"/>
      <c r="J391" s="4"/>
    </row>
    <row r="392" spans="1:10" x14ac:dyDescent="0.25">
      <c r="A392" s="4"/>
      <c r="B392" s="5" t="str">
        <f t="shared" si="6"/>
        <v/>
      </c>
      <c r="C392" s="6"/>
      <c r="D392" s="6"/>
      <c r="E392" s="4"/>
      <c r="F392" s="4"/>
      <c r="G392" s="4"/>
      <c r="H392" s="4"/>
      <c r="I392" s="4"/>
      <c r="J392" s="4"/>
    </row>
    <row r="393" spans="1:10" x14ac:dyDescent="0.25">
      <c r="A393" s="4"/>
      <c r="B393" s="5" t="str">
        <f t="shared" si="6"/>
        <v/>
      </c>
      <c r="C393" s="6"/>
      <c r="D393" s="6"/>
      <c r="E393" s="4"/>
      <c r="F393" s="4"/>
      <c r="G393" s="4"/>
      <c r="H393" s="4"/>
      <c r="I393" s="4"/>
      <c r="J393" s="4"/>
    </row>
    <row r="394" spans="1:10" x14ac:dyDescent="0.25">
      <c r="A394" s="4"/>
      <c r="B394" s="5" t="str">
        <f t="shared" si="6"/>
        <v/>
      </c>
      <c r="C394" s="6"/>
      <c r="D394" s="6"/>
      <c r="E394" s="4"/>
      <c r="F394" s="4"/>
      <c r="G394" s="4"/>
      <c r="H394" s="4"/>
      <c r="I394" s="4"/>
      <c r="J394" s="4"/>
    </row>
    <row r="395" spans="1:10" x14ac:dyDescent="0.25">
      <c r="A395" s="4"/>
      <c r="B395" s="5" t="str">
        <f t="shared" si="6"/>
        <v/>
      </c>
      <c r="C395" s="6"/>
      <c r="D395" s="6"/>
      <c r="E395" s="4"/>
      <c r="F395" s="4"/>
      <c r="G395" s="4"/>
      <c r="H395" s="4"/>
      <c r="I395" s="4"/>
      <c r="J395" s="4"/>
    </row>
    <row r="396" spans="1:10" x14ac:dyDescent="0.25">
      <c r="A396" s="4"/>
      <c r="B396" s="5" t="str">
        <f t="shared" si="6"/>
        <v/>
      </c>
      <c r="C396" s="6"/>
      <c r="D396" s="6"/>
      <c r="E396" s="4"/>
      <c r="F396" s="4"/>
      <c r="G396" s="4"/>
      <c r="H396" s="4"/>
      <c r="I396" s="4"/>
      <c r="J396" s="4"/>
    </row>
    <row r="397" spans="1:10" x14ac:dyDescent="0.25">
      <c r="A397" s="4"/>
      <c r="B397" s="5" t="str">
        <f t="shared" si="6"/>
        <v/>
      </c>
      <c r="C397" s="6"/>
      <c r="D397" s="6"/>
      <c r="E397" s="4"/>
      <c r="F397" s="4"/>
      <c r="G397" s="4"/>
      <c r="H397" s="4"/>
      <c r="I397" s="4"/>
      <c r="J397" s="4"/>
    </row>
    <row r="398" spans="1:10" x14ac:dyDescent="0.25">
      <c r="A398" s="4"/>
      <c r="B398" s="5" t="str">
        <f t="shared" si="6"/>
        <v/>
      </c>
      <c r="C398" s="6"/>
      <c r="D398" s="6"/>
      <c r="E398" s="4"/>
      <c r="F398" s="4"/>
      <c r="G398" s="4"/>
      <c r="H398" s="4"/>
      <c r="I398" s="4"/>
      <c r="J398" s="4"/>
    </row>
    <row r="399" spans="1:10" x14ac:dyDescent="0.25">
      <c r="A399" s="4"/>
      <c r="B399" s="5" t="str">
        <f t="shared" si="6"/>
        <v/>
      </c>
      <c r="C399" s="6"/>
      <c r="D399" s="6"/>
      <c r="E399" s="4"/>
      <c r="F399" s="4"/>
      <c r="G399" s="4"/>
      <c r="H399" s="4"/>
      <c r="I399" s="4"/>
      <c r="J399" s="4"/>
    </row>
    <row r="400" spans="1:10" x14ac:dyDescent="0.25">
      <c r="A400" s="4"/>
      <c r="B400" s="5" t="str">
        <f t="shared" si="6"/>
        <v/>
      </c>
      <c r="C400" s="6"/>
      <c r="D400" s="6"/>
      <c r="E400" s="4"/>
      <c r="F400" s="4"/>
      <c r="G400" s="4"/>
      <c r="H400" s="4"/>
      <c r="I400" s="4"/>
      <c r="J400" s="4"/>
    </row>
    <row r="401" spans="1:10" x14ac:dyDescent="0.25">
      <c r="A401" s="4"/>
      <c r="B401" s="5" t="str">
        <f t="shared" si="6"/>
        <v/>
      </c>
      <c r="C401" s="6"/>
      <c r="D401" s="6"/>
      <c r="E401" s="4"/>
      <c r="F401" s="4"/>
      <c r="G401" s="4"/>
      <c r="H401" s="4"/>
      <c r="I401" s="4"/>
      <c r="J401" s="4"/>
    </row>
    <row r="402" spans="1:10" x14ac:dyDescent="0.25">
      <c r="A402" s="4"/>
      <c r="B402" s="5" t="str">
        <f t="shared" si="6"/>
        <v/>
      </c>
      <c r="C402" s="6"/>
      <c r="D402" s="6"/>
      <c r="E402" s="4"/>
      <c r="F402" s="4"/>
      <c r="G402" s="4"/>
      <c r="H402" s="4"/>
      <c r="I402" s="4"/>
      <c r="J402" s="4"/>
    </row>
    <row r="403" spans="1:10" x14ac:dyDescent="0.25">
      <c r="A403" s="4"/>
      <c r="B403" s="5" t="str">
        <f t="shared" si="6"/>
        <v/>
      </c>
      <c r="C403" s="6"/>
      <c r="D403" s="6"/>
      <c r="E403" s="4"/>
      <c r="F403" s="4"/>
      <c r="G403" s="4"/>
      <c r="H403" s="4"/>
      <c r="I403" s="4"/>
      <c r="J403" s="4"/>
    </row>
    <row r="404" spans="1:10" x14ac:dyDescent="0.25">
      <c r="A404" s="4"/>
      <c r="B404" s="5" t="str">
        <f t="shared" si="6"/>
        <v/>
      </c>
      <c r="C404" s="6"/>
      <c r="D404" s="6"/>
      <c r="E404" s="4"/>
      <c r="F404" s="4"/>
      <c r="G404" s="4"/>
      <c r="H404" s="4"/>
      <c r="I404" s="4"/>
      <c r="J404" s="4"/>
    </row>
    <row r="405" spans="1:10" x14ac:dyDescent="0.25">
      <c r="A405" s="4"/>
      <c r="B405" s="5" t="str">
        <f t="shared" si="6"/>
        <v/>
      </c>
      <c r="C405" s="6"/>
      <c r="D405" s="6"/>
      <c r="E405" s="4"/>
      <c r="F405" s="4"/>
      <c r="G405" s="4"/>
      <c r="H405" s="4"/>
      <c r="I405" s="4"/>
      <c r="J405" s="4"/>
    </row>
    <row r="406" spans="1:10" x14ac:dyDescent="0.25">
      <c r="A406" s="4"/>
      <c r="B406" s="5" t="str">
        <f t="shared" si="6"/>
        <v/>
      </c>
      <c r="C406" s="6"/>
      <c r="D406" s="6"/>
      <c r="E406" s="4"/>
      <c r="F406" s="4"/>
      <c r="G406" s="4"/>
      <c r="H406" s="4"/>
      <c r="I406" s="4"/>
      <c r="J406" s="4"/>
    </row>
    <row r="407" spans="1:10" x14ac:dyDescent="0.25">
      <c r="A407" s="4"/>
      <c r="B407" s="5" t="str">
        <f t="shared" si="6"/>
        <v/>
      </c>
      <c r="C407" s="6"/>
      <c r="D407" s="6"/>
      <c r="E407" s="4"/>
      <c r="F407" s="4"/>
      <c r="G407" s="4"/>
      <c r="H407" s="4"/>
      <c r="I407" s="4"/>
      <c r="J407" s="4"/>
    </row>
    <row r="408" spans="1:10" x14ac:dyDescent="0.25">
      <c r="A408" s="4"/>
      <c r="B408" s="5" t="str">
        <f t="shared" si="6"/>
        <v/>
      </c>
      <c r="C408" s="6"/>
      <c r="D408" s="6"/>
      <c r="E408" s="4"/>
      <c r="F408" s="4"/>
      <c r="G408" s="4"/>
      <c r="H408" s="4"/>
      <c r="I408" s="4"/>
      <c r="J408" s="4"/>
    </row>
    <row r="409" spans="1:10" x14ac:dyDescent="0.25">
      <c r="A409" s="4"/>
      <c r="B409" s="5" t="str">
        <f t="shared" si="6"/>
        <v/>
      </c>
      <c r="C409" s="6"/>
      <c r="D409" s="6"/>
      <c r="E409" s="4"/>
      <c r="F409" s="4"/>
      <c r="G409" s="4"/>
      <c r="H409" s="4"/>
      <c r="I409" s="4"/>
      <c r="J409" s="4"/>
    </row>
    <row r="410" spans="1:10" x14ac:dyDescent="0.25">
      <c r="A410" s="4"/>
      <c r="B410" s="5" t="str">
        <f t="shared" si="6"/>
        <v/>
      </c>
      <c r="C410" s="6"/>
      <c r="D410" s="6"/>
      <c r="E410" s="4"/>
      <c r="F410" s="4"/>
      <c r="G410" s="4"/>
      <c r="H410" s="4"/>
      <c r="I410" s="4"/>
      <c r="J410" s="4"/>
    </row>
    <row r="411" spans="1:10" x14ac:dyDescent="0.25">
      <c r="A411" s="4"/>
      <c r="B411" s="5" t="str">
        <f t="shared" si="6"/>
        <v/>
      </c>
      <c r="C411" s="6"/>
      <c r="D411" s="6"/>
      <c r="E411" s="4"/>
      <c r="F411" s="4"/>
      <c r="G411" s="4"/>
      <c r="H411" s="4"/>
      <c r="I411" s="4"/>
      <c r="J411" s="4"/>
    </row>
    <row r="412" spans="1:10" x14ac:dyDescent="0.25">
      <c r="A412" s="4"/>
      <c r="B412" s="5" t="str">
        <f t="shared" si="6"/>
        <v/>
      </c>
      <c r="C412" s="6"/>
      <c r="D412" s="6"/>
      <c r="E412" s="4"/>
      <c r="F412" s="4"/>
      <c r="G412" s="4"/>
      <c r="H412" s="4"/>
      <c r="I412" s="4"/>
      <c r="J412" s="4"/>
    </row>
    <row r="413" spans="1:10" x14ac:dyDescent="0.25">
      <c r="A413" s="4"/>
      <c r="B413" s="5" t="str">
        <f t="shared" si="6"/>
        <v/>
      </c>
      <c r="C413" s="6"/>
      <c r="D413" s="6"/>
      <c r="E413" s="4"/>
      <c r="F413" s="4"/>
      <c r="G413" s="4"/>
      <c r="H413" s="4"/>
      <c r="I413" s="4"/>
      <c r="J413" s="4"/>
    </row>
    <row r="414" spans="1:10" x14ac:dyDescent="0.25">
      <c r="A414" s="4"/>
      <c r="B414" s="5" t="str">
        <f t="shared" si="6"/>
        <v/>
      </c>
      <c r="C414" s="6"/>
      <c r="D414" s="6"/>
      <c r="E414" s="4"/>
      <c r="F414" s="4"/>
      <c r="G414" s="4"/>
      <c r="H414" s="4"/>
      <c r="I414" s="4"/>
      <c r="J414" s="4"/>
    </row>
    <row r="415" spans="1:10" x14ac:dyDescent="0.25">
      <c r="A415" s="4"/>
      <c r="B415" s="5" t="str">
        <f t="shared" si="6"/>
        <v/>
      </c>
      <c r="C415" s="6"/>
      <c r="D415" s="6"/>
      <c r="E415" s="4"/>
      <c r="F415" s="4"/>
      <c r="G415" s="4"/>
      <c r="H415" s="4"/>
      <c r="I415" s="4"/>
      <c r="J415" s="4"/>
    </row>
    <row r="416" spans="1:10" x14ac:dyDescent="0.25">
      <c r="A416" s="4"/>
      <c r="B416" s="5" t="str">
        <f t="shared" si="6"/>
        <v/>
      </c>
      <c r="C416" s="6"/>
      <c r="D416" s="6"/>
      <c r="E416" s="4"/>
      <c r="F416" s="4"/>
      <c r="G416" s="4"/>
      <c r="H416" s="4"/>
      <c r="I416" s="4"/>
      <c r="J416" s="4"/>
    </row>
    <row r="417" spans="1:10" x14ac:dyDescent="0.25">
      <c r="A417" s="4"/>
      <c r="B417" s="5" t="str">
        <f t="shared" si="6"/>
        <v/>
      </c>
      <c r="C417" s="6"/>
      <c r="D417" s="6"/>
      <c r="E417" s="4"/>
      <c r="F417" s="4"/>
      <c r="G417" s="4"/>
      <c r="H417" s="4"/>
      <c r="I417" s="4"/>
      <c r="J417" s="4"/>
    </row>
    <row r="418" spans="1:10" x14ac:dyDescent="0.25">
      <c r="A418" s="4"/>
      <c r="B418" s="5" t="str">
        <f t="shared" si="6"/>
        <v/>
      </c>
      <c r="C418" s="6"/>
      <c r="D418" s="6"/>
      <c r="E418" s="4"/>
      <c r="F418" s="4"/>
      <c r="G418" s="4"/>
      <c r="H418" s="4"/>
      <c r="I418" s="4"/>
      <c r="J418" s="4"/>
    </row>
    <row r="419" spans="1:10" x14ac:dyDescent="0.25">
      <c r="A419" s="4"/>
      <c r="B419" s="5" t="str">
        <f t="shared" si="6"/>
        <v/>
      </c>
      <c r="C419" s="6"/>
      <c r="D419" s="6"/>
      <c r="E419" s="4"/>
      <c r="F419" s="4"/>
      <c r="G419" s="4"/>
      <c r="H419" s="4"/>
      <c r="I419" s="4"/>
      <c r="J419" s="4"/>
    </row>
    <row r="420" spans="1:10" x14ac:dyDescent="0.25">
      <c r="A420" s="4"/>
      <c r="B420" s="5" t="str">
        <f t="shared" si="6"/>
        <v/>
      </c>
      <c r="C420" s="6"/>
      <c r="D420" s="6"/>
      <c r="E420" s="4"/>
      <c r="F420" s="4"/>
      <c r="G420" s="4"/>
      <c r="H420" s="4"/>
      <c r="I420" s="4"/>
      <c r="J420" s="4"/>
    </row>
    <row r="421" spans="1:10" x14ac:dyDescent="0.25">
      <c r="A421" s="4"/>
      <c r="B421" s="5" t="str">
        <f t="shared" si="6"/>
        <v/>
      </c>
      <c r="C421" s="6"/>
      <c r="D421" s="6"/>
      <c r="E421" s="4"/>
      <c r="F421" s="4"/>
      <c r="G421" s="4"/>
      <c r="H421" s="4"/>
      <c r="I421" s="4"/>
      <c r="J421" s="4"/>
    </row>
    <row r="422" spans="1:10" x14ac:dyDescent="0.25">
      <c r="A422" s="4"/>
      <c r="B422" s="5" t="str">
        <f t="shared" si="6"/>
        <v/>
      </c>
      <c r="C422" s="6"/>
      <c r="D422" s="6"/>
      <c r="E422" s="4"/>
      <c r="F422" s="4"/>
      <c r="G422" s="4"/>
      <c r="H422" s="4"/>
      <c r="I422" s="4"/>
      <c r="J422" s="4"/>
    </row>
    <row r="423" spans="1:10" x14ac:dyDescent="0.25">
      <c r="A423" s="4"/>
      <c r="B423" s="5" t="str">
        <f t="shared" si="6"/>
        <v/>
      </c>
      <c r="C423" s="6"/>
      <c r="D423" s="6"/>
      <c r="E423" s="4"/>
      <c r="F423" s="4"/>
      <c r="G423" s="4"/>
      <c r="H423" s="4"/>
      <c r="I423" s="4"/>
      <c r="J423" s="4"/>
    </row>
    <row r="424" spans="1:10" x14ac:dyDescent="0.25">
      <c r="A424" s="4"/>
      <c r="B424" s="5" t="str">
        <f t="shared" si="6"/>
        <v/>
      </c>
      <c r="C424" s="6"/>
      <c r="D424" s="6"/>
      <c r="E424" s="4"/>
      <c r="F424" s="4"/>
      <c r="G424" s="4"/>
      <c r="H424" s="4"/>
      <c r="I424" s="4"/>
      <c r="J424" s="4"/>
    </row>
    <row r="425" spans="1:10" x14ac:dyDescent="0.25">
      <c r="A425" s="4"/>
      <c r="B425" s="5" t="str">
        <f t="shared" si="6"/>
        <v/>
      </c>
      <c r="C425" s="6"/>
      <c r="D425" s="6"/>
      <c r="E425" s="4"/>
      <c r="F425" s="4"/>
      <c r="G425" s="4"/>
      <c r="H425" s="4"/>
      <c r="I425" s="4"/>
      <c r="J425" s="4"/>
    </row>
    <row r="426" spans="1:10" x14ac:dyDescent="0.25">
      <c r="A426" s="4"/>
      <c r="B426" s="5" t="str">
        <f t="shared" si="6"/>
        <v/>
      </c>
      <c r="C426" s="6"/>
      <c r="D426" s="6"/>
      <c r="E426" s="4"/>
      <c r="F426" s="4"/>
      <c r="G426" s="4"/>
      <c r="H426" s="4"/>
      <c r="I426" s="4"/>
      <c r="J426" s="4"/>
    </row>
    <row r="427" spans="1:10" x14ac:dyDescent="0.25">
      <c r="A427" s="4"/>
      <c r="B427" s="5" t="str">
        <f t="shared" si="6"/>
        <v/>
      </c>
      <c r="C427" s="6"/>
      <c r="D427" s="6"/>
      <c r="E427" s="4"/>
      <c r="F427" s="4"/>
      <c r="G427" s="4"/>
      <c r="H427" s="4"/>
      <c r="I427" s="4"/>
      <c r="J427" s="4"/>
    </row>
    <row r="428" spans="1:10" x14ac:dyDescent="0.25">
      <c r="A428" s="4"/>
      <c r="B428" s="5" t="str">
        <f t="shared" si="6"/>
        <v/>
      </c>
      <c r="C428" s="6"/>
      <c r="D428" s="6"/>
      <c r="E428" s="4"/>
      <c r="F428" s="4"/>
      <c r="G428" s="4"/>
      <c r="H428" s="4"/>
      <c r="I428" s="4"/>
      <c r="J428" s="4"/>
    </row>
    <row r="429" spans="1:10" x14ac:dyDescent="0.25">
      <c r="A429" s="4"/>
      <c r="B429" s="5" t="str">
        <f t="shared" si="6"/>
        <v/>
      </c>
      <c r="C429" s="6"/>
      <c r="D429" s="6"/>
      <c r="E429" s="4"/>
      <c r="F429" s="4"/>
      <c r="G429" s="4"/>
      <c r="H429" s="4"/>
      <c r="I429" s="4"/>
      <c r="J429" s="4"/>
    </row>
    <row r="430" spans="1:10" x14ac:dyDescent="0.25">
      <c r="A430" s="4"/>
      <c r="B430" s="5" t="str">
        <f t="shared" si="6"/>
        <v/>
      </c>
      <c r="C430" s="6"/>
      <c r="D430" s="6"/>
      <c r="E430" s="4"/>
      <c r="F430" s="4"/>
      <c r="G430" s="4"/>
      <c r="H430" s="4"/>
      <c r="I430" s="4"/>
      <c r="J430" s="4"/>
    </row>
    <row r="431" spans="1:10" x14ac:dyDescent="0.25">
      <c r="A431" s="4"/>
      <c r="B431" s="5" t="str">
        <f t="shared" si="6"/>
        <v/>
      </c>
      <c r="C431" s="6"/>
      <c r="D431" s="6"/>
      <c r="E431" s="4"/>
      <c r="F431" s="4"/>
      <c r="G431" s="4"/>
      <c r="H431" s="4"/>
      <c r="I431" s="4"/>
      <c r="J431" s="4"/>
    </row>
    <row r="432" spans="1:10" x14ac:dyDescent="0.25">
      <c r="A432" s="4"/>
      <c r="B432" s="5" t="str">
        <f t="shared" si="6"/>
        <v/>
      </c>
      <c r="C432" s="6"/>
      <c r="D432" s="6"/>
      <c r="E432" s="4"/>
      <c r="F432" s="4"/>
      <c r="G432" s="4"/>
      <c r="H432" s="4"/>
      <c r="I432" s="4"/>
      <c r="J432" s="4"/>
    </row>
    <row r="433" spans="1:10" x14ac:dyDescent="0.25">
      <c r="A433" s="4"/>
      <c r="B433" s="5" t="str">
        <f t="shared" si="6"/>
        <v/>
      </c>
      <c r="C433" s="6"/>
      <c r="D433" s="6"/>
      <c r="E433" s="4"/>
      <c r="F433" s="4"/>
      <c r="G433" s="4"/>
      <c r="H433" s="4"/>
      <c r="I433" s="4"/>
      <c r="J433" s="4"/>
    </row>
    <row r="434" spans="1:10" x14ac:dyDescent="0.25">
      <c r="A434" s="4"/>
      <c r="B434" s="5" t="str">
        <f t="shared" si="6"/>
        <v/>
      </c>
      <c r="C434" s="6"/>
      <c r="D434" s="6"/>
      <c r="E434" s="4"/>
      <c r="F434" s="4"/>
      <c r="G434" s="4"/>
      <c r="H434" s="4"/>
      <c r="I434" s="4"/>
      <c r="J434" s="4"/>
    </row>
    <row r="435" spans="1:10" x14ac:dyDescent="0.25">
      <c r="A435" s="4"/>
      <c r="B435" s="5" t="str">
        <f t="shared" si="6"/>
        <v/>
      </c>
      <c r="C435" s="6"/>
      <c r="D435" s="6"/>
      <c r="E435" s="4"/>
      <c r="F435" s="4"/>
      <c r="G435" s="4"/>
      <c r="H435" s="4"/>
      <c r="I435" s="4"/>
      <c r="J435" s="4"/>
    </row>
    <row r="436" spans="1:10" x14ac:dyDescent="0.25">
      <c r="A436" s="4"/>
      <c r="B436" s="5" t="str">
        <f t="shared" si="6"/>
        <v/>
      </c>
      <c r="C436" s="6"/>
      <c r="D436" s="6"/>
      <c r="E436" s="4"/>
      <c r="F436" s="4"/>
      <c r="G436" s="4"/>
      <c r="H436" s="4"/>
      <c r="I436" s="4"/>
      <c r="J436" s="4"/>
    </row>
    <row r="437" spans="1:10" x14ac:dyDescent="0.25">
      <c r="A437" s="4"/>
      <c r="B437" s="5" t="str">
        <f t="shared" si="6"/>
        <v/>
      </c>
      <c r="C437" s="6"/>
      <c r="D437" s="6"/>
      <c r="E437" s="4"/>
      <c r="F437" s="4"/>
      <c r="G437" s="4"/>
      <c r="H437" s="4"/>
      <c r="I437" s="4"/>
      <c r="J437" s="4"/>
    </row>
    <row r="438" spans="1:10" x14ac:dyDescent="0.25">
      <c r="A438" s="4"/>
      <c r="B438" s="5" t="str">
        <f t="shared" si="6"/>
        <v/>
      </c>
      <c r="C438" s="6"/>
      <c r="D438" s="6"/>
      <c r="E438" s="4"/>
      <c r="F438" s="4"/>
      <c r="G438" s="4"/>
      <c r="H438" s="4"/>
      <c r="I438" s="4"/>
      <c r="J438" s="4"/>
    </row>
    <row r="439" spans="1:10" x14ac:dyDescent="0.25">
      <c r="A439" s="4"/>
      <c r="B439" s="5" t="str">
        <f t="shared" si="6"/>
        <v/>
      </c>
      <c r="C439" s="6"/>
      <c r="D439" s="6"/>
      <c r="E439" s="4"/>
      <c r="F439" s="4"/>
      <c r="G439" s="4"/>
      <c r="H439" s="4"/>
      <c r="I439" s="4"/>
      <c r="J439" s="4"/>
    </row>
    <row r="440" spans="1:10" x14ac:dyDescent="0.25">
      <c r="A440" s="4"/>
      <c r="B440" s="5" t="str">
        <f t="shared" si="6"/>
        <v/>
      </c>
      <c r="C440" s="6"/>
      <c r="D440" s="6"/>
      <c r="E440" s="4"/>
      <c r="F440" s="4"/>
      <c r="G440" s="4"/>
      <c r="H440" s="4"/>
      <c r="I440" s="4"/>
      <c r="J440" s="4"/>
    </row>
    <row r="441" spans="1:10" x14ac:dyDescent="0.25">
      <c r="A441" s="4"/>
      <c r="B441" s="5" t="str">
        <f t="shared" si="6"/>
        <v/>
      </c>
      <c r="C441" s="6"/>
      <c r="D441" s="6"/>
      <c r="E441" s="4"/>
      <c r="F441" s="4"/>
      <c r="G441" s="4"/>
      <c r="H441" s="4"/>
      <c r="I441" s="4"/>
      <c r="J441" s="4"/>
    </row>
    <row r="442" spans="1:10" x14ac:dyDescent="0.25">
      <c r="A442" s="4"/>
      <c r="B442" s="5" t="str">
        <f t="shared" si="6"/>
        <v/>
      </c>
      <c r="C442" s="6"/>
      <c r="D442" s="6"/>
      <c r="E442" s="4"/>
      <c r="F442" s="4"/>
      <c r="G442" s="4"/>
      <c r="H442" s="4"/>
      <c r="I442" s="4"/>
      <c r="J442" s="4"/>
    </row>
    <row r="443" spans="1:10" x14ac:dyDescent="0.25">
      <c r="A443" s="4"/>
      <c r="B443" s="5" t="str">
        <f t="shared" si="6"/>
        <v/>
      </c>
      <c r="C443" s="6"/>
      <c r="D443" s="6"/>
      <c r="E443" s="4"/>
      <c r="F443" s="4"/>
      <c r="G443" s="4"/>
      <c r="H443" s="4"/>
      <c r="I443" s="4"/>
      <c r="J443" s="4"/>
    </row>
    <row r="444" spans="1:10" x14ac:dyDescent="0.25">
      <c r="A444" s="4"/>
      <c r="B444" s="5" t="str">
        <f t="shared" si="6"/>
        <v/>
      </c>
      <c r="C444" s="6"/>
      <c r="D444" s="6"/>
      <c r="E444" s="4"/>
      <c r="F444" s="4"/>
      <c r="G444" s="4"/>
      <c r="H444" s="4"/>
      <c r="I444" s="4"/>
      <c r="J444" s="4"/>
    </row>
    <row r="445" spans="1:10" x14ac:dyDescent="0.25">
      <c r="A445" s="4"/>
      <c r="B445" s="5" t="str">
        <f t="shared" si="6"/>
        <v/>
      </c>
      <c r="C445" s="6"/>
      <c r="D445" s="6"/>
      <c r="E445" s="4"/>
      <c r="F445" s="4"/>
      <c r="G445" s="4"/>
      <c r="H445" s="4"/>
      <c r="I445" s="4"/>
      <c r="J445" s="4"/>
    </row>
    <row r="446" spans="1:10" x14ac:dyDescent="0.25">
      <c r="A446" s="4"/>
      <c r="B446" s="5" t="str">
        <f t="shared" si="6"/>
        <v/>
      </c>
      <c r="C446" s="6"/>
      <c r="D446" s="6"/>
      <c r="E446" s="4"/>
      <c r="F446" s="4"/>
      <c r="G446" s="4"/>
      <c r="H446" s="4"/>
      <c r="I446" s="4"/>
      <c r="J446" s="4"/>
    </row>
    <row r="447" spans="1:10" x14ac:dyDescent="0.25">
      <c r="A447" s="4"/>
      <c r="B447" s="5" t="str">
        <f t="shared" si="6"/>
        <v/>
      </c>
      <c r="C447" s="6"/>
      <c r="D447" s="6"/>
      <c r="E447" s="4"/>
      <c r="F447" s="4"/>
      <c r="G447" s="4"/>
      <c r="H447" s="4"/>
      <c r="I447" s="4"/>
      <c r="J447" s="4"/>
    </row>
    <row r="448" spans="1:10" x14ac:dyDescent="0.25">
      <c r="A448" s="4"/>
      <c r="B448" s="5" t="str">
        <f t="shared" si="6"/>
        <v/>
      </c>
      <c r="C448" s="6"/>
      <c r="D448" s="6"/>
      <c r="E448" s="4"/>
      <c r="F448" s="4"/>
      <c r="G448" s="4"/>
      <c r="H448" s="4"/>
      <c r="I448" s="4"/>
      <c r="J448" s="4"/>
    </row>
    <row r="449" spans="1:10" x14ac:dyDescent="0.25">
      <c r="A449" s="4"/>
      <c r="B449" s="5" t="str">
        <f t="shared" si="6"/>
        <v/>
      </c>
      <c r="C449" s="6"/>
      <c r="D449" s="6"/>
      <c r="E449" s="4"/>
      <c r="F449" s="4"/>
      <c r="G449" s="4"/>
      <c r="H449" s="4"/>
      <c r="I449" s="4"/>
      <c r="J449" s="4"/>
    </row>
    <row r="450" spans="1:10" x14ac:dyDescent="0.25">
      <c r="A450" s="4"/>
      <c r="B450" s="5" t="str">
        <f t="shared" ref="B450:B500" si="7">IF($A450="","",IFERROR(INDEX(AccountCode,MATCH($A450,AccountName,0)),IFERROR(INDEX(AccountCode,MATCH($A450,AccountCode,0)),"NOT FOUND")))</f>
        <v/>
      </c>
      <c r="C450" s="6"/>
      <c r="D450" s="6"/>
      <c r="E450" s="4"/>
      <c r="F450" s="4"/>
      <c r="G450" s="4"/>
      <c r="H450" s="4"/>
      <c r="I450" s="4"/>
      <c r="J450" s="4"/>
    </row>
    <row r="451" spans="1:10" x14ac:dyDescent="0.25">
      <c r="A451" s="4"/>
      <c r="B451" s="5" t="str">
        <f t="shared" si="7"/>
        <v/>
      </c>
      <c r="C451" s="6"/>
      <c r="D451" s="6"/>
      <c r="E451" s="4"/>
      <c r="F451" s="4"/>
      <c r="G451" s="4"/>
      <c r="H451" s="4"/>
      <c r="I451" s="4"/>
      <c r="J451" s="4"/>
    </row>
    <row r="452" spans="1:10" x14ac:dyDescent="0.25">
      <c r="A452" s="4"/>
      <c r="B452" s="5" t="str">
        <f t="shared" si="7"/>
        <v/>
      </c>
      <c r="C452" s="6"/>
      <c r="D452" s="6"/>
      <c r="E452" s="4"/>
      <c r="F452" s="4"/>
      <c r="G452" s="4"/>
      <c r="H452" s="4"/>
      <c r="I452" s="4"/>
      <c r="J452" s="4"/>
    </row>
    <row r="453" spans="1:10" x14ac:dyDescent="0.25">
      <c r="A453" s="4"/>
      <c r="B453" s="5" t="str">
        <f t="shared" si="7"/>
        <v/>
      </c>
      <c r="C453" s="6"/>
      <c r="D453" s="6"/>
      <c r="E453" s="4"/>
      <c r="F453" s="4"/>
      <c r="G453" s="4"/>
      <c r="H453" s="4"/>
      <c r="I453" s="4"/>
      <c r="J453" s="4"/>
    </row>
    <row r="454" spans="1:10" x14ac:dyDescent="0.25">
      <c r="A454" s="4"/>
      <c r="B454" s="5" t="str">
        <f t="shared" si="7"/>
        <v/>
      </c>
      <c r="C454" s="6"/>
      <c r="D454" s="6"/>
      <c r="E454" s="4"/>
      <c r="F454" s="4"/>
      <c r="G454" s="4"/>
      <c r="H454" s="4"/>
      <c r="I454" s="4"/>
      <c r="J454" s="4"/>
    </row>
    <row r="455" spans="1:10" x14ac:dyDescent="0.25">
      <c r="A455" s="4"/>
      <c r="B455" s="5" t="str">
        <f t="shared" si="7"/>
        <v/>
      </c>
      <c r="C455" s="6"/>
      <c r="D455" s="6"/>
      <c r="E455" s="4"/>
      <c r="F455" s="4"/>
      <c r="G455" s="4"/>
      <c r="H455" s="4"/>
      <c r="I455" s="4"/>
      <c r="J455" s="4"/>
    </row>
    <row r="456" spans="1:10" x14ac:dyDescent="0.25">
      <c r="A456" s="4"/>
      <c r="B456" s="5" t="str">
        <f t="shared" si="7"/>
        <v/>
      </c>
      <c r="C456" s="6"/>
      <c r="D456" s="6"/>
      <c r="E456" s="4"/>
      <c r="F456" s="4"/>
      <c r="G456" s="4"/>
      <c r="H456" s="4"/>
      <c r="I456" s="4"/>
      <c r="J456" s="4"/>
    </row>
    <row r="457" spans="1:10" x14ac:dyDescent="0.25">
      <c r="A457" s="4"/>
      <c r="B457" s="5" t="str">
        <f t="shared" si="7"/>
        <v/>
      </c>
      <c r="C457" s="6"/>
      <c r="D457" s="6"/>
      <c r="E457" s="4"/>
      <c r="F457" s="4"/>
      <c r="G457" s="4"/>
      <c r="H457" s="4"/>
      <c r="I457" s="4"/>
      <c r="J457" s="4"/>
    </row>
    <row r="458" spans="1:10" x14ac:dyDescent="0.25">
      <c r="A458" s="4"/>
      <c r="B458" s="5" t="str">
        <f t="shared" si="7"/>
        <v/>
      </c>
      <c r="C458" s="6"/>
      <c r="D458" s="6"/>
      <c r="E458" s="4"/>
      <c r="F458" s="4"/>
      <c r="G458" s="4"/>
      <c r="H458" s="4"/>
      <c r="I458" s="4"/>
      <c r="J458" s="4"/>
    </row>
    <row r="459" spans="1:10" x14ac:dyDescent="0.25">
      <c r="A459" s="4"/>
      <c r="B459" s="5" t="str">
        <f t="shared" si="7"/>
        <v/>
      </c>
      <c r="C459" s="6"/>
      <c r="D459" s="6"/>
      <c r="E459" s="4"/>
      <c r="F459" s="4"/>
      <c r="G459" s="4"/>
      <c r="H459" s="4"/>
      <c r="I459" s="4"/>
      <c r="J459" s="4"/>
    </row>
    <row r="460" spans="1:10" x14ac:dyDescent="0.25">
      <c r="A460" s="4"/>
      <c r="B460" s="5" t="str">
        <f t="shared" si="7"/>
        <v/>
      </c>
      <c r="C460" s="6"/>
      <c r="D460" s="6"/>
      <c r="E460" s="4"/>
      <c r="F460" s="4"/>
      <c r="G460" s="4"/>
      <c r="H460" s="4"/>
      <c r="I460" s="4"/>
      <c r="J460" s="4"/>
    </row>
    <row r="461" spans="1:10" x14ac:dyDescent="0.25">
      <c r="A461" s="4"/>
      <c r="B461" s="5" t="str">
        <f t="shared" si="7"/>
        <v/>
      </c>
      <c r="C461" s="6"/>
      <c r="D461" s="6"/>
      <c r="E461" s="4"/>
      <c r="F461" s="4"/>
      <c r="G461" s="4"/>
      <c r="H461" s="4"/>
      <c r="I461" s="4"/>
      <c r="J461" s="4"/>
    </row>
    <row r="462" spans="1:10" x14ac:dyDescent="0.25">
      <c r="A462" s="4"/>
      <c r="B462" s="5" t="str">
        <f t="shared" si="7"/>
        <v/>
      </c>
      <c r="C462" s="6"/>
      <c r="D462" s="6"/>
      <c r="E462" s="4"/>
      <c r="F462" s="4"/>
      <c r="G462" s="4"/>
      <c r="H462" s="4"/>
      <c r="I462" s="4"/>
      <c r="J462" s="4"/>
    </row>
    <row r="463" spans="1:10" x14ac:dyDescent="0.25">
      <c r="A463" s="4"/>
      <c r="B463" s="5" t="str">
        <f t="shared" si="7"/>
        <v/>
      </c>
      <c r="C463" s="6"/>
      <c r="D463" s="6"/>
      <c r="E463" s="4"/>
      <c r="F463" s="4"/>
      <c r="G463" s="4"/>
      <c r="H463" s="4"/>
      <c r="I463" s="4"/>
      <c r="J463" s="4"/>
    </row>
    <row r="464" spans="1:10" x14ac:dyDescent="0.25">
      <c r="A464" s="4"/>
      <c r="B464" s="5" t="str">
        <f t="shared" si="7"/>
        <v/>
      </c>
      <c r="C464" s="6"/>
      <c r="D464" s="6"/>
      <c r="E464" s="4"/>
      <c r="F464" s="4"/>
      <c r="G464" s="4"/>
      <c r="H464" s="4"/>
      <c r="I464" s="4"/>
      <c r="J464" s="4"/>
    </row>
    <row r="465" spans="1:10" x14ac:dyDescent="0.25">
      <c r="A465" s="4"/>
      <c r="B465" s="5" t="str">
        <f t="shared" si="7"/>
        <v/>
      </c>
      <c r="C465" s="6"/>
      <c r="D465" s="6"/>
      <c r="E465" s="4"/>
      <c r="F465" s="4"/>
      <c r="G465" s="4"/>
      <c r="H465" s="4"/>
      <c r="I465" s="4"/>
      <c r="J465" s="4"/>
    </row>
    <row r="466" spans="1:10" x14ac:dyDescent="0.25">
      <c r="A466" s="4"/>
      <c r="B466" s="5" t="str">
        <f t="shared" si="7"/>
        <v/>
      </c>
      <c r="C466" s="6"/>
      <c r="D466" s="6"/>
      <c r="E466" s="4"/>
      <c r="F466" s="4"/>
      <c r="G466" s="4"/>
      <c r="H466" s="4"/>
      <c r="I466" s="4"/>
      <c r="J466" s="4"/>
    </row>
    <row r="467" spans="1:10" x14ac:dyDescent="0.25">
      <c r="A467" s="4"/>
      <c r="B467" s="5" t="str">
        <f t="shared" si="7"/>
        <v/>
      </c>
      <c r="C467" s="6"/>
      <c r="D467" s="6"/>
      <c r="E467" s="4"/>
      <c r="F467" s="4"/>
      <c r="G467" s="4"/>
      <c r="H467" s="4"/>
      <c r="I467" s="4"/>
      <c r="J467" s="4"/>
    </row>
    <row r="468" spans="1:10" x14ac:dyDescent="0.25">
      <c r="A468" s="4"/>
      <c r="B468" s="5" t="str">
        <f t="shared" si="7"/>
        <v/>
      </c>
      <c r="C468" s="6"/>
      <c r="D468" s="6"/>
      <c r="E468" s="4"/>
      <c r="F468" s="4"/>
      <c r="G468" s="4"/>
      <c r="H468" s="4"/>
      <c r="I468" s="4"/>
      <c r="J468" s="4"/>
    </row>
    <row r="469" spans="1:10" x14ac:dyDescent="0.25">
      <c r="A469" s="4"/>
      <c r="B469" s="5" t="str">
        <f t="shared" si="7"/>
        <v/>
      </c>
      <c r="C469" s="6"/>
      <c r="D469" s="6"/>
      <c r="E469" s="4"/>
      <c r="F469" s="4"/>
      <c r="G469" s="4"/>
      <c r="H469" s="4"/>
      <c r="I469" s="4"/>
      <c r="J469" s="4"/>
    </row>
    <row r="470" spans="1:10" x14ac:dyDescent="0.25">
      <c r="A470" s="4"/>
      <c r="B470" s="5" t="str">
        <f t="shared" si="7"/>
        <v/>
      </c>
      <c r="C470" s="6"/>
      <c r="D470" s="6"/>
      <c r="E470" s="4"/>
      <c r="F470" s="4"/>
      <c r="G470" s="4"/>
      <c r="H470" s="4"/>
      <c r="I470" s="4"/>
      <c r="J470" s="4"/>
    </row>
    <row r="471" spans="1:10" x14ac:dyDescent="0.25">
      <c r="A471" s="4"/>
      <c r="B471" s="5" t="str">
        <f t="shared" si="7"/>
        <v/>
      </c>
      <c r="C471" s="6"/>
      <c r="D471" s="6"/>
      <c r="E471" s="4"/>
      <c r="F471" s="4"/>
      <c r="G471" s="4"/>
      <c r="H471" s="4"/>
      <c r="I471" s="4"/>
      <c r="J471" s="4"/>
    </row>
    <row r="472" spans="1:10" x14ac:dyDescent="0.25">
      <c r="A472" s="4"/>
      <c r="B472" s="5" t="str">
        <f t="shared" si="7"/>
        <v/>
      </c>
      <c r="C472" s="6"/>
      <c r="D472" s="6"/>
      <c r="E472" s="4"/>
      <c r="F472" s="4"/>
      <c r="G472" s="4"/>
      <c r="H472" s="4"/>
      <c r="I472" s="4"/>
      <c r="J472" s="4"/>
    </row>
    <row r="473" spans="1:10" x14ac:dyDescent="0.25">
      <c r="A473" s="4"/>
      <c r="B473" s="5" t="str">
        <f t="shared" si="7"/>
        <v/>
      </c>
      <c r="C473" s="6"/>
      <c r="D473" s="6"/>
      <c r="E473" s="4"/>
      <c r="F473" s="4"/>
      <c r="G473" s="4"/>
      <c r="H473" s="4"/>
      <c r="I473" s="4"/>
      <c r="J473" s="4"/>
    </row>
    <row r="474" spans="1:10" x14ac:dyDescent="0.25">
      <c r="A474" s="4"/>
      <c r="B474" s="5" t="str">
        <f t="shared" si="7"/>
        <v/>
      </c>
      <c r="C474" s="6"/>
      <c r="D474" s="6"/>
      <c r="E474" s="4"/>
      <c r="F474" s="4"/>
      <c r="G474" s="4"/>
      <c r="H474" s="4"/>
      <c r="I474" s="4"/>
      <c r="J474" s="4"/>
    </row>
    <row r="475" spans="1:10" x14ac:dyDescent="0.25">
      <c r="A475" s="4"/>
      <c r="B475" s="5" t="str">
        <f t="shared" si="7"/>
        <v/>
      </c>
      <c r="C475" s="6"/>
      <c r="D475" s="6"/>
      <c r="E475" s="4"/>
      <c r="F475" s="4"/>
      <c r="G475" s="4"/>
      <c r="H475" s="4"/>
      <c r="I475" s="4"/>
      <c r="J475" s="4"/>
    </row>
    <row r="476" spans="1:10" x14ac:dyDescent="0.25">
      <c r="A476" s="4"/>
      <c r="B476" s="5" t="str">
        <f t="shared" si="7"/>
        <v/>
      </c>
      <c r="C476" s="6"/>
      <c r="D476" s="6"/>
      <c r="E476" s="4"/>
      <c r="F476" s="4"/>
      <c r="G476" s="4"/>
      <c r="H476" s="4"/>
      <c r="I476" s="4"/>
      <c r="J476" s="4"/>
    </row>
    <row r="477" spans="1:10" x14ac:dyDescent="0.25">
      <c r="A477" s="4"/>
      <c r="B477" s="5" t="str">
        <f t="shared" si="7"/>
        <v/>
      </c>
      <c r="C477" s="6"/>
      <c r="D477" s="6"/>
      <c r="E477" s="4"/>
      <c r="F477" s="4"/>
      <c r="G477" s="4"/>
      <c r="H477" s="4"/>
      <c r="I477" s="4"/>
      <c r="J477" s="4"/>
    </row>
    <row r="478" spans="1:10" x14ac:dyDescent="0.25">
      <c r="A478" s="4"/>
      <c r="B478" s="5" t="str">
        <f t="shared" si="7"/>
        <v/>
      </c>
      <c r="C478" s="6"/>
      <c r="D478" s="6"/>
      <c r="E478" s="4"/>
      <c r="F478" s="4"/>
      <c r="G478" s="4"/>
      <c r="H478" s="4"/>
      <c r="I478" s="4"/>
      <c r="J478" s="4"/>
    </row>
    <row r="479" spans="1:10" x14ac:dyDescent="0.25">
      <c r="A479" s="4"/>
      <c r="B479" s="5" t="str">
        <f t="shared" si="7"/>
        <v/>
      </c>
      <c r="C479" s="6"/>
      <c r="D479" s="6"/>
      <c r="E479" s="4"/>
      <c r="F479" s="4"/>
      <c r="G479" s="4"/>
      <c r="H479" s="4"/>
      <c r="I479" s="4"/>
      <c r="J479" s="4"/>
    </row>
    <row r="480" spans="1:10" x14ac:dyDescent="0.25">
      <c r="A480" s="4"/>
      <c r="B480" s="5" t="str">
        <f t="shared" si="7"/>
        <v/>
      </c>
      <c r="C480" s="6"/>
      <c r="D480" s="6"/>
      <c r="E480" s="4"/>
      <c r="F480" s="4"/>
      <c r="G480" s="4"/>
      <c r="H480" s="4"/>
      <c r="I480" s="4"/>
      <c r="J480" s="4"/>
    </row>
    <row r="481" spans="1:10" x14ac:dyDescent="0.25">
      <c r="A481" s="4"/>
      <c r="B481" s="5" t="str">
        <f t="shared" si="7"/>
        <v/>
      </c>
      <c r="C481" s="6"/>
      <c r="D481" s="6"/>
      <c r="E481" s="4"/>
      <c r="F481" s="4"/>
      <c r="G481" s="4"/>
      <c r="H481" s="4"/>
      <c r="I481" s="4"/>
      <c r="J481" s="4"/>
    </row>
    <row r="482" spans="1:10" x14ac:dyDescent="0.25">
      <c r="A482" s="4"/>
      <c r="B482" s="5" t="str">
        <f t="shared" si="7"/>
        <v/>
      </c>
      <c r="C482" s="6"/>
      <c r="D482" s="6"/>
      <c r="E482" s="4"/>
      <c r="F482" s="4"/>
      <c r="G482" s="4"/>
      <c r="H482" s="4"/>
      <c r="I482" s="4"/>
      <c r="J482" s="4"/>
    </row>
    <row r="483" spans="1:10" x14ac:dyDescent="0.25">
      <c r="A483" s="4"/>
      <c r="B483" s="5" t="str">
        <f t="shared" si="7"/>
        <v/>
      </c>
      <c r="C483" s="6"/>
      <c r="D483" s="6"/>
      <c r="E483" s="4"/>
      <c r="F483" s="4"/>
      <c r="G483" s="4"/>
      <c r="H483" s="4"/>
      <c r="I483" s="4"/>
      <c r="J483" s="4"/>
    </row>
    <row r="484" spans="1:10" x14ac:dyDescent="0.25">
      <c r="A484" s="4"/>
      <c r="B484" s="5" t="str">
        <f t="shared" si="7"/>
        <v/>
      </c>
      <c r="C484" s="6"/>
      <c r="D484" s="6"/>
      <c r="E484" s="4"/>
      <c r="F484" s="4"/>
      <c r="G484" s="4"/>
      <c r="H484" s="4"/>
      <c r="I484" s="4"/>
      <c r="J484" s="4"/>
    </row>
    <row r="485" spans="1:10" x14ac:dyDescent="0.25">
      <c r="A485" s="4"/>
      <c r="B485" s="5" t="str">
        <f t="shared" si="7"/>
        <v/>
      </c>
      <c r="C485" s="6"/>
      <c r="D485" s="6"/>
      <c r="E485" s="4"/>
      <c r="F485" s="4"/>
      <c r="G485" s="4"/>
      <c r="H485" s="4"/>
      <c r="I485" s="4"/>
      <c r="J485" s="4"/>
    </row>
    <row r="486" spans="1:10" x14ac:dyDescent="0.25">
      <c r="A486" s="4"/>
      <c r="B486" s="5" t="str">
        <f t="shared" si="7"/>
        <v/>
      </c>
      <c r="C486" s="6"/>
      <c r="D486" s="6"/>
      <c r="E486" s="4"/>
      <c r="F486" s="4"/>
      <c r="G486" s="4"/>
      <c r="H486" s="4"/>
      <c r="I486" s="4"/>
      <c r="J486" s="4"/>
    </row>
    <row r="487" spans="1:10" x14ac:dyDescent="0.25">
      <c r="A487" s="4"/>
      <c r="B487" s="5" t="str">
        <f t="shared" si="7"/>
        <v/>
      </c>
      <c r="C487" s="6"/>
      <c r="D487" s="6"/>
      <c r="E487" s="4"/>
      <c r="F487" s="4"/>
      <c r="G487" s="4"/>
      <c r="H487" s="4"/>
      <c r="I487" s="4"/>
      <c r="J487" s="4"/>
    </row>
    <row r="488" spans="1:10" x14ac:dyDescent="0.25">
      <c r="A488" s="4"/>
      <c r="B488" s="5" t="str">
        <f t="shared" si="7"/>
        <v/>
      </c>
      <c r="C488" s="6"/>
      <c r="D488" s="6"/>
      <c r="E488" s="4"/>
      <c r="F488" s="4"/>
      <c r="G488" s="4"/>
      <c r="H488" s="4"/>
      <c r="I488" s="4"/>
      <c r="J488" s="4"/>
    </row>
    <row r="489" spans="1:10" x14ac:dyDescent="0.25">
      <c r="A489" s="4"/>
      <c r="B489" s="5" t="str">
        <f t="shared" si="7"/>
        <v/>
      </c>
      <c r="C489" s="6"/>
      <c r="D489" s="6"/>
      <c r="E489" s="4"/>
      <c r="F489" s="4"/>
      <c r="G489" s="4"/>
      <c r="H489" s="4"/>
      <c r="I489" s="4"/>
      <c r="J489" s="4"/>
    </row>
    <row r="490" spans="1:10" x14ac:dyDescent="0.25">
      <c r="A490" s="4"/>
      <c r="B490" s="5" t="str">
        <f t="shared" si="7"/>
        <v/>
      </c>
      <c r="C490" s="6"/>
      <c r="D490" s="6"/>
      <c r="E490" s="4"/>
      <c r="F490" s="4"/>
      <c r="G490" s="4"/>
      <c r="H490" s="4"/>
      <c r="I490" s="4"/>
      <c r="J490" s="4"/>
    </row>
    <row r="491" spans="1:10" x14ac:dyDescent="0.25">
      <c r="A491" s="4"/>
      <c r="B491" s="5" t="str">
        <f t="shared" si="7"/>
        <v/>
      </c>
      <c r="C491" s="6"/>
      <c r="D491" s="6"/>
      <c r="E491" s="4"/>
      <c r="F491" s="4"/>
      <c r="G491" s="4"/>
      <c r="H491" s="4"/>
      <c r="I491" s="4"/>
      <c r="J491" s="4"/>
    </row>
    <row r="492" spans="1:10" x14ac:dyDescent="0.25">
      <c r="A492" s="4"/>
      <c r="B492" s="5" t="str">
        <f t="shared" si="7"/>
        <v/>
      </c>
      <c r="C492" s="6"/>
      <c r="D492" s="6"/>
      <c r="E492" s="4"/>
      <c r="F492" s="4"/>
      <c r="G492" s="4"/>
      <c r="H492" s="4"/>
      <c r="I492" s="4"/>
      <c r="J492" s="4"/>
    </row>
    <row r="493" spans="1:10" x14ac:dyDescent="0.25">
      <c r="A493" s="4"/>
      <c r="B493" s="5" t="str">
        <f t="shared" si="7"/>
        <v/>
      </c>
      <c r="C493" s="6"/>
      <c r="D493" s="6"/>
      <c r="E493" s="4"/>
      <c r="F493" s="4"/>
      <c r="G493" s="4"/>
      <c r="H493" s="4"/>
      <c r="I493" s="4"/>
      <c r="J493" s="4"/>
    </row>
    <row r="494" spans="1:10" x14ac:dyDescent="0.25">
      <c r="A494" s="4"/>
      <c r="B494" s="5" t="str">
        <f t="shared" si="7"/>
        <v/>
      </c>
      <c r="C494" s="6"/>
      <c r="D494" s="6"/>
      <c r="E494" s="4"/>
      <c r="F494" s="4"/>
      <c r="G494" s="4"/>
      <c r="H494" s="4"/>
      <c r="I494" s="4"/>
      <c r="J494" s="4"/>
    </row>
    <row r="495" spans="1:10" x14ac:dyDescent="0.25">
      <c r="A495" s="4"/>
      <c r="B495" s="5" t="str">
        <f t="shared" si="7"/>
        <v/>
      </c>
      <c r="C495" s="6"/>
      <c r="D495" s="6"/>
      <c r="E495" s="4"/>
      <c r="F495" s="4"/>
      <c r="G495" s="4"/>
      <c r="H495" s="4"/>
      <c r="I495" s="4"/>
      <c r="J495" s="4"/>
    </row>
    <row r="496" spans="1:10" x14ac:dyDescent="0.25">
      <c r="A496" s="4"/>
      <c r="B496" s="5" t="str">
        <f t="shared" si="7"/>
        <v/>
      </c>
      <c r="C496" s="6"/>
      <c r="D496" s="6"/>
      <c r="E496" s="4"/>
      <c r="F496" s="4"/>
      <c r="G496" s="4"/>
      <c r="H496" s="4"/>
      <c r="I496" s="4"/>
      <c r="J496" s="4"/>
    </row>
    <row r="497" spans="1:10" x14ac:dyDescent="0.25">
      <c r="A497" s="4"/>
      <c r="B497" s="5" t="str">
        <f t="shared" si="7"/>
        <v/>
      </c>
      <c r="C497" s="6"/>
      <c r="D497" s="6"/>
      <c r="E497" s="4"/>
      <c r="F497" s="4"/>
      <c r="G497" s="4"/>
      <c r="H497" s="4"/>
      <c r="I497" s="4"/>
      <c r="J497" s="4"/>
    </row>
    <row r="498" spans="1:10" x14ac:dyDescent="0.25">
      <c r="A498" s="4"/>
      <c r="B498" s="5" t="str">
        <f t="shared" si="7"/>
        <v/>
      </c>
      <c r="C498" s="6"/>
      <c r="D498" s="6"/>
      <c r="E498" s="4"/>
      <c r="F498" s="4"/>
      <c r="G498" s="4"/>
      <c r="H498" s="4"/>
      <c r="I498" s="4"/>
      <c r="J498" s="4"/>
    </row>
    <row r="499" spans="1:10" x14ac:dyDescent="0.25">
      <c r="A499" s="4"/>
      <c r="B499" s="5" t="str">
        <f t="shared" si="7"/>
        <v/>
      </c>
      <c r="C499" s="6"/>
      <c r="D499" s="6"/>
      <c r="E499" s="4"/>
      <c r="F499" s="4"/>
      <c r="G499" s="4"/>
      <c r="H499" s="4"/>
      <c r="I499" s="4"/>
      <c r="J499" s="4"/>
    </row>
    <row r="500" spans="1:10" x14ac:dyDescent="0.25">
      <c r="A500" s="4"/>
      <c r="B500" s="5" t="str">
        <f t="shared" si="7"/>
        <v/>
      </c>
      <c r="C500" s="6"/>
      <c r="D500" s="6"/>
      <c r="E500" s="4"/>
      <c r="F500" s="4"/>
      <c r="G500" s="4"/>
      <c r="H500" s="4"/>
      <c r="I500" s="4"/>
      <c r="J500" s="4"/>
    </row>
    <row r="502" spans="1:10" x14ac:dyDescent="0.25">
      <c r="A502" s="7" t="s">
        <v>57</v>
      </c>
      <c r="C502" s="8">
        <f>SUM(C2:C500)</f>
        <v>27564169.409999996</v>
      </c>
      <c r="D502" s="8">
        <f>SUM(D2:D500)</f>
        <v>27564169.409999996</v>
      </c>
      <c r="E502" s="26" t="str">
        <f>IF(C502=D502,"BALANCED","OUT OF BALANCE BY "&amp;TEXT(ABS(C502-D502),"#,##0.00"))</f>
        <v>BALANCED</v>
      </c>
      <c r="F502" s="27"/>
      <c r="G502" s="27"/>
      <c r="H502" s="27"/>
      <c r="I502" s="27"/>
      <c r="J502" s="27"/>
    </row>
  </sheetData>
  <sheetProtection sheet="1" formatCells="0" sort="0" autoFilter="0"/>
  <autoFilter ref="A1:J500"/>
  <mergeCells count="1">
    <mergeCell ref="E502:J502"/>
  </mergeCells>
  <conditionalFormatting sqref="B2:B500">
    <cfRule type="expression" dxfId="1" priority="1">
      <formula>$B2="NOT FOUND"</formula>
    </cfRule>
  </conditionalFormatting>
  <conditionalFormatting sqref="C502:J502">
    <cfRule type="expression" dxfId="0" priority="2">
      <formula>$C$502&lt;&gt;$D$502</formula>
    </cfRule>
  </conditionalFormatting>
  <dataValidations count="6">
    <dataValidation type="list" errorStyle="warning" allowBlank="1" showErrorMessage="1" errorTitle="Particulars not in the list" error="This is not one of the general accounts. Client and supplier accounts are allowed — choose Yes to keep it, type its code in AccountCode, and the server will validate it on upload." sqref="A2:A500">
      <formula1>AccountName</formula1>
    </dataValidation>
    <dataValidation type="list" allowBlank="1" showErrorMessage="1" errorTitle="Invalid Entry Type" error="Choose General, Advance, Against Bill, JobNo or Opening Balance. Leave blank to use the Entry Type selected on screen." sqref="E2:E500">
      <formula1>TypePick</formula1>
    </dataValidation>
    <dataValidation type="list" allowBlank="1" showErrorMessage="1" errorTitle="Invalid Department" error="Choose a department from the list, or leave blank to use the one selected on screen." sqref="H2:H500">
      <formula1>DeptPick</formula1>
    </dataValidation>
    <dataValidation type="list" errorStyle="warning" allowBlank="1" showErrorMessage="1" errorTitle="No item for this account" error="Most accounts have no items — leave this blank. Choose the Particulars in column A first." sqref="I2:I500">
      <formula1>INDIRECT("ITM_"&amp;IF($B2="","_NONE",$B2))</formula1>
    </dataValidation>
    <dataValidation type="textLength" operator="lessThanOrEqual" allowBlank="1" showErrorMessage="1" errorTitle="Line narration too long" error="Maximum 20 characters (database limit). Put longer text in the Narration field on the JV screen." sqref="J2:J500">
      <formula1>20</formula1>
    </dataValidation>
    <dataValidation type="decimal" operator="greaterThan" allowBlank="1" showErrorMessage="1" errorTitle="Invalid amount" error="Enter a number greater than zero, or leave the cell blank." sqref="C2:C500 D2:D5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9"/>
  <sheetViews>
    <sheetView showGridLines="0" workbookViewId="0"/>
  </sheetViews>
  <sheetFormatPr defaultRowHeight="15" x14ac:dyDescent="0.25"/>
  <cols>
    <col min="1" max="1" width="4" customWidth="1"/>
    <col min="2" max="2" width="24" customWidth="1"/>
    <col min="3" max="3" width="40" customWidth="1"/>
    <col min="4" max="7" width="16" customWidth="1"/>
  </cols>
  <sheetData>
    <row r="2" spans="2:7" ht="37.5" x14ac:dyDescent="0.25">
      <c r="B2" s="9" t="s">
        <v>58</v>
      </c>
      <c r="C2" s="9"/>
    </row>
    <row r="4" spans="2:7" ht="15.75" x14ac:dyDescent="0.25">
      <c r="B4" s="10" t="s">
        <v>59</v>
      </c>
      <c r="C4" s="29" t="s">
        <v>60</v>
      </c>
      <c r="D4" s="27"/>
      <c r="E4" s="27"/>
      <c r="F4" s="27"/>
      <c r="G4" s="27"/>
    </row>
    <row r="5" spans="2:7" x14ac:dyDescent="0.25">
      <c r="B5" s="11"/>
      <c r="C5" s="28" t="s">
        <v>61</v>
      </c>
      <c r="D5" s="27"/>
      <c r="E5" s="27"/>
      <c r="F5" s="27"/>
      <c r="G5" s="27"/>
    </row>
    <row r="6" spans="2:7" x14ac:dyDescent="0.25">
      <c r="B6" s="11"/>
      <c r="C6" s="28" t="s">
        <v>62</v>
      </c>
      <c r="D6" s="27"/>
      <c r="E6" s="27"/>
      <c r="F6" s="27"/>
      <c r="G6" s="27"/>
    </row>
    <row r="7" spans="2:7" x14ac:dyDescent="0.25">
      <c r="B7" s="11"/>
      <c r="C7" s="28" t="s">
        <v>63</v>
      </c>
      <c r="D7" s="27"/>
      <c r="E7" s="27"/>
      <c r="F7" s="27"/>
      <c r="G7" s="27"/>
    </row>
    <row r="8" spans="2:7" x14ac:dyDescent="0.25">
      <c r="B8" s="11"/>
      <c r="C8" s="28" t="s">
        <v>64</v>
      </c>
      <c r="D8" s="27"/>
      <c r="E8" s="27"/>
      <c r="F8" s="27"/>
      <c r="G8" s="27"/>
    </row>
    <row r="9" spans="2:7" x14ac:dyDescent="0.25">
      <c r="B9" s="11"/>
      <c r="C9" s="28" t="s">
        <v>65</v>
      </c>
      <c r="D9" s="27"/>
      <c r="E9" s="27"/>
      <c r="F9" s="27"/>
      <c r="G9" s="27"/>
    </row>
    <row r="10" spans="2:7" x14ac:dyDescent="0.25">
      <c r="B10" s="11"/>
      <c r="C10" s="28" t="s">
        <v>66</v>
      </c>
      <c r="D10" s="27"/>
      <c r="E10" s="27"/>
      <c r="F10" s="27"/>
      <c r="G10" s="27"/>
    </row>
    <row r="12" spans="2:7" ht="15.75" x14ac:dyDescent="0.25">
      <c r="B12" s="10" t="s">
        <v>67</v>
      </c>
      <c r="C12" s="29" t="s">
        <v>60</v>
      </c>
      <c r="D12" s="27"/>
      <c r="E12" s="27"/>
      <c r="F12" s="27"/>
      <c r="G12" s="27"/>
    </row>
    <row r="13" spans="2:7" x14ac:dyDescent="0.25">
      <c r="B13" s="11"/>
      <c r="C13" s="28" t="s">
        <v>68</v>
      </c>
      <c r="D13" s="27"/>
      <c r="E13" s="27"/>
      <c r="F13" s="27"/>
      <c r="G13" s="27"/>
    </row>
    <row r="14" spans="2:7" x14ac:dyDescent="0.25">
      <c r="B14" s="11"/>
      <c r="C14" s="11"/>
    </row>
    <row r="15" spans="2:7" x14ac:dyDescent="0.25">
      <c r="B15" s="11"/>
      <c r="C15" s="28" t="s">
        <v>69</v>
      </c>
      <c r="D15" s="27"/>
      <c r="E15" s="27"/>
      <c r="F15" s="27"/>
      <c r="G15" s="27"/>
    </row>
    <row r="16" spans="2:7" x14ac:dyDescent="0.25">
      <c r="B16" s="11"/>
      <c r="C16" s="11"/>
    </row>
    <row r="17" spans="2:7" x14ac:dyDescent="0.25">
      <c r="B17" s="11"/>
      <c r="C17" s="28" t="s">
        <v>70</v>
      </c>
      <c r="D17" s="27"/>
      <c r="E17" s="27"/>
      <c r="F17" s="27"/>
      <c r="G17" s="27"/>
    </row>
    <row r="18" spans="2:7" x14ac:dyDescent="0.25">
      <c r="B18" s="11"/>
      <c r="C18" s="28" t="s">
        <v>71</v>
      </c>
      <c r="D18" s="27"/>
      <c r="E18" s="27"/>
      <c r="F18" s="27"/>
      <c r="G18" s="27"/>
    </row>
    <row r="19" spans="2:7" x14ac:dyDescent="0.25">
      <c r="B19" s="11"/>
      <c r="C19" s="28" t="s">
        <v>72</v>
      </c>
      <c r="D19" s="27"/>
      <c r="E19" s="27"/>
      <c r="F19" s="27"/>
      <c r="G19" s="27"/>
    </row>
    <row r="20" spans="2:7" x14ac:dyDescent="0.25">
      <c r="B20" s="11"/>
      <c r="C20" s="28" t="s">
        <v>73</v>
      </c>
      <c r="D20" s="27"/>
      <c r="E20" s="27"/>
      <c r="F20" s="27"/>
      <c r="G20" s="27"/>
    </row>
    <row r="22" spans="2:7" ht="15.75" x14ac:dyDescent="0.25">
      <c r="B22" s="10" t="s">
        <v>74</v>
      </c>
      <c r="C22" s="29" t="s">
        <v>60</v>
      </c>
      <c r="D22" s="27"/>
      <c r="E22" s="27"/>
      <c r="F22" s="27"/>
      <c r="G22" s="27"/>
    </row>
    <row r="23" spans="2:7" x14ac:dyDescent="0.25">
      <c r="B23" s="11" t="s">
        <v>75</v>
      </c>
      <c r="C23" s="28" t="s">
        <v>76</v>
      </c>
      <c r="D23" s="27"/>
      <c r="E23" s="27"/>
      <c r="F23" s="27"/>
      <c r="G23" s="27"/>
    </row>
    <row r="24" spans="2:7" x14ac:dyDescent="0.25">
      <c r="B24" s="11" t="s">
        <v>77</v>
      </c>
      <c r="C24" s="28" t="s">
        <v>78</v>
      </c>
      <c r="D24" s="27"/>
      <c r="E24" s="27"/>
      <c r="F24" s="27"/>
      <c r="G24" s="27"/>
    </row>
    <row r="25" spans="2:7" x14ac:dyDescent="0.25">
      <c r="B25" s="11" t="s">
        <v>79</v>
      </c>
      <c r="C25" s="28" t="s">
        <v>80</v>
      </c>
      <c r="D25" s="27"/>
      <c r="E25" s="27"/>
      <c r="F25" s="27"/>
      <c r="G25" s="27"/>
    </row>
    <row r="26" spans="2:7" x14ac:dyDescent="0.25">
      <c r="B26" s="11" t="s">
        <v>81</v>
      </c>
      <c r="C26" s="28" t="s">
        <v>82</v>
      </c>
      <c r="D26" s="27"/>
      <c r="E26" s="27"/>
      <c r="F26" s="27"/>
      <c r="G26" s="27"/>
    </row>
    <row r="27" spans="2:7" x14ac:dyDescent="0.25">
      <c r="B27" s="11" t="s">
        <v>83</v>
      </c>
      <c r="C27" s="28" t="s">
        <v>84</v>
      </c>
      <c r="D27" s="27"/>
      <c r="E27" s="27"/>
      <c r="F27" s="27"/>
      <c r="G27" s="27"/>
    </row>
    <row r="28" spans="2:7" x14ac:dyDescent="0.25">
      <c r="B28" s="11" t="s">
        <v>85</v>
      </c>
      <c r="C28" s="28" t="s">
        <v>86</v>
      </c>
      <c r="D28" s="27"/>
      <c r="E28" s="27"/>
      <c r="F28" s="27"/>
      <c r="G28" s="27"/>
    </row>
    <row r="29" spans="2:7" x14ac:dyDescent="0.25">
      <c r="B29" s="11" t="s">
        <v>87</v>
      </c>
      <c r="C29" s="28" t="s">
        <v>88</v>
      </c>
      <c r="D29" s="27"/>
      <c r="E29" s="27"/>
      <c r="F29" s="27"/>
      <c r="G29" s="27"/>
    </row>
    <row r="30" spans="2:7" x14ac:dyDescent="0.25">
      <c r="B30" s="11" t="s">
        <v>89</v>
      </c>
      <c r="C30" s="28" t="s">
        <v>90</v>
      </c>
      <c r="D30" s="27"/>
      <c r="E30" s="27"/>
      <c r="F30" s="27"/>
      <c r="G30" s="27"/>
    </row>
    <row r="31" spans="2:7" x14ac:dyDescent="0.25">
      <c r="B31" s="11" t="s">
        <v>91</v>
      </c>
      <c r="C31" s="28" t="s">
        <v>92</v>
      </c>
      <c r="D31" s="27"/>
      <c r="E31" s="27"/>
      <c r="F31" s="27"/>
      <c r="G31" s="27"/>
    </row>
    <row r="32" spans="2:7" x14ac:dyDescent="0.25">
      <c r="B32" s="11" t="s">
        <v>93</v>
      </c>
      <c r="C32" s="28" t="s">
        <v>94</v>
      </c>
      <c r="D32" s="27"/>
      <c r="E32" s="27"/>
      <c r="F32" s="27"/>
      <c r="G32" s="27"/>
    </row>
    <row r="34" spans="2:7" ht="15.75" x14ac:dyDescent="0.25">
      <c r="B34" s="10" t="s">
        <v>95</v>
      </c>
      <c r="C34" s="29" t="s">
        <v>60</v>
      </c>
      <c r="D34" s="27"/>
      <c r="E34" s="27"/>
      <c r="F34" s="27"/>
      <c r="G34" s="27"/>
    </row>
    <row r="35" spans="2:7" x14ac:dyDescent="0.25">
      <c r="B35" s="11"/>
      <c r="C35" s="28" t="s">
        <v>96</v>
      </c>
      <c r="D35" s="27"/>
      <c r="E35" s="27"/>
      <c r="F35" s="27"/>
      <c r="G35" s="27"/>
    </row>
    <row r="36" spans="2:7" x14ac:dyDescent="0.25">
      <c r="B36" s="11"/>
      <c r="C36" s="28" t="s">
        <v>97</v>
      </c>
      <c r="D36" s="27"/>
      <c r="E36" s="27"/>
      <c r="F36" s="27"/>
      <c r="G36" s="27"/>
    </row>
    <row r="37" spans="2:7" x14ac:dyDescent="0.25">
      <c r="B37" s="11"/>
      <c r="C37" s="28" t="s">
        <v>98</v>
      </c>
      <c r="D37" s="27"/>
      <c r="E37" s="27"/>
      <c r="F37" s="27"/>
      <c r="G37" s="27"/>
    </row>
    <row r="38" spans="2:7" x14ac:dyDescent="0.25">
      <c r="B38" s="11"/>
      <c r="C38" s="28" t="s">
        <v>99</v>
      </c>
      <c r="D38" s="27"/>
      <c r="E38" s="27"/>
      <c r="F38" s="27"/>
      <c r="G38" s="27"/>
    </row>
    <row r="39" spans="2:7" x14ac:dyDescent="0.25">
      <c r="B39" s="11"/>
      <c r="C39" s="28" t="s">
        <v>100</v>
      </c>
      <c r="D39" s="27"/>
      <c r="E39" s="27"/>
      <c r="F39" s="27"/>
      <c r="G39" s="27"/>
    </row>
    <row r="40" spans="2:7" x14ac:dyDescent="0.25">
      <c r="B40" s="11"/>
      <c r="C40" s="28" t="s">
        <v>101</v>
      </c>
      <c r="D40" s="27"/>
      <c r="E40" s="27"/>
      <c r="F40" s="27"/>
      <c r="G40" s="27"/>
    </row>
    <row r="42" spans="2:7" ht="15.75" x14ac:dyDescent="0.25">
      <c r="B42" s="10" t="s">
        <v>102</v>
      </c>
      <c r="C42" s="29" t="s">
        <v>60</v>
      </c>
      <c r="D42" s="27"/>
      <c r="E42" s="27"/>
      <c r="F42" s="27"/>
      <c r="G42" s="27"/>
    </row>
    <row r="43" spans="2:7" x14ac:dyDescent="0.25">
      <c r="B43" s="11"/>
      <c r="C43" s="28" t="s">
        <v>103</v>
      </c>
      <c r="D43" s="27"/>
      <c r="E43" s="27"/>
      <c r="F43" s="27"/>
      <c r="G43" s="27"/>
    </row>
    <row r="44" spans="2:7" x14ac:dyDescent="0.25">
      <c r="C44" s="12" t="s">
        <v>0</v>
      </c>
      <c r="D44" s="13" t="s">
        <v>1</v>
      </c>
      <c r="E44" s="12" t="s">
        <v>2</v>
      </c>
      <c r="F44" s="12" t="s">
        <v>3</v>
      </c>
      <c r="G44" s="12" t="s">
        <v>4</v>
      </c>
    </row>
    <row r="45" spans="2:7" x14ac:dyDescent="0.25">
      <c r="C45" s="14" t="s">
        <v>10</v>
      </c>
      <c r="D45" s="15" t="s">
        <v>104</v>
      </c>
      <c r="E45" s="16">
        <v>2815908.6</v>
      </c>
      <c r="F45" s="16"/>
      <c r="G45" s="14"/>
    </row>
    <row r="46" spans="2:7" x14ac:dyDescent="0.25">
      <c r="C46" s="14" t="s">
        <v>12</v>
      </c>
      <c r="D46" s="15" t="s">
        <v>105</v>
      </c>
      <c r="E46" s="16">
        <v>7751532</v>
      </c>
      <c r="F46" s="16"/>
      <c r="G46" s="14"/>
    </row>
    <row r="47" spans="2:7" x14ac:dyDescent="0.25">
      <c r="C47" s="14" t="s">
        <v>21</v>
      </c>
      <c r="D47" s="15" t="s">
        <v>106</v>
      </c>
      <c r="E47" s="16"/>
      <c r="F47" s="16">
        <v>295571.40000000002</v>
      </c>
      <c r="G47" s="14"/>
    </row>
    <row r="48" spans="2:7" x14ac:dyDescent="0.25">
      <c r="C48" s="14" t="s">
        <v>56</v>
      </c>
      <c r="D48" s="15" t="s">
        <v>107</v>
      </c>
      <c r="E48" s="16"/>
      <c r="F48" s="16">
        <v>7093079.8499999996</v>
      </c>
      <c r="G48" s="14"/>
    </row>
    <row r="49" spans="2:7" x14ac:dyDescent="0.25">
      <c r="B49" s="11"/>
      <c r="C49" s="28" t="s">
        <v>108</v>
      </c>
      <c r="D49" s="27"/>
      <c r="E49" s="27"/>
      <c r="F49" s="27"/>
      <c r="G49" s="27"/>
    </row>
  </sheetData>
  <sheetProtection sheet="1"/>
  <mergeCells count="35">
    <mergeCell ref="C37:G37"/>
    <mergeCell ref="C13:G13"/>
    <mergeCell ref="C18:G18"/>
    <mergeCell ref="C5:G5"/>
    <mergeCell ref="C26:G26"/>
    <mergeCell ref="C29:G29"/>
    <mergeCell ref="C4:G4"/>
    <mergeCell ref="C35:G35"/>
    <mergeCell ref="C20:G20"/>
    <mergeCell ref="C10:G10"/>
    <mergeCell ref="C25:G25"/>
    <mergeCell ref="C31:G31"/>
    <mergeCell ref="C22:G22"/>
    <mergeCell ref="C9:G9"/>
    <mergeCell ref="C12:G12"/>
    <mergeCell ref="C27:G27"/>
    <mergeCell ref="C23:G23"/>
    <mergeCell ref="C8:G8"/>
    <mergeCell ref="C17:G17"/>
    <mergeCell ref="C49:G49"/>
    <mergeCell ref="C30:G30"/>
    <mergeCell ref="C34:G34"/>
    <mergeCell ref="C6:G6"/>
    <mergeCell ref="C24:G24"/>
    <mergeCell ref="C42:G42"/>
    <mergeCell ref="C15:G15"/>
    <mergeCell ref="C40:G40"/>
    <mergeCell ref="C43:G43"/>
    <mergeCell ref="C36:G36"/>
    <mergeCell ref="C39:G39"/>
    <mergeCell ref="C7:G7"/>
    <mergeCell ref="C32:G32"/>
    <mergeCell ref="C38:G38"/>
    <mergeCell ref="C28:G28"/>
    <mergeCell ref="C19:G1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45"/>
  <sheetViews>
    <sheetView workbookViewId="0">
      <pane ySplit="3" topLeftCell="A4" activePane="bottomLeft" state="frozen"/>
      <selection pane="bottomLeft"/>
    </sheetView>
  </sheetViews>
  <sheetFormatPr defaultRowHeight="15" x14ac:dyDescent="0.25"/>
  <cols>
    <col min="1" max="1" width="15" customWidth="1"/>
    <col min="2" max="2" width="50" customWidth="1"/>
    <col min="3" max="3" width="11" customWidth="1"/>
    <col min="4" max="4" width="3" customWidth="1"/>
    <col min="5" max="5" width="15" customWidth="1"/>
    <col min="6" max="6" width="50" customWidth="1"/>
    <col min="7" max="7" width="3" customWidth="1"/>
    <col min="8" max="8" width="30" customWidth="1"/>
    <col min="9" max="9" width="9" customWidth="1"/>
    <col min="10" max="10" width="3" customWidth="1"/>
    <col min="11" max="11" width="20" customWidth="1"/>
    <col min="14" max="14" width="13" hidden="1" customWidth="1"/>
  </cols>
  <sheetData>
    <row r="1" spans="1:14" ht="21.95" customHeight="1" x14ac:dyDescent="0.25">
      <c r="A1" s="17" t="s">
        <v>109</v>
      </c>
      <c r="B1" s="18"/>
      <c r="C1" s="30" t="str">
        <f>IF($B$1="","&lt;-- type any part of an account name, or a code",IF(COUNT($N$4:$N$1345)=0,"no match - try a shorter word",COUNT($N$4:$N$1345)&amp;" match(es) - see RESULTS to the right"))</f>
        <v>&lt;-- type any part of an account name, or a code</v>
      </c>
      <c r="D1" s="27"/>
      <c r="E1" s="27"/>
      <c r="F1" s="27"/>
    </row>
    <row r="3" spans="1:14" x14ac:dyDescent="0.25">
      <c r="A3" s="19" t="s">
        <v>1</v>
      </c>
      <c r="B3" s="19" t="s">
        <v>0</v>
      </c>
      <c r="C3" s="19" t="s">
        <v>110</v>
      </c>
      <c r="E3" s="20" t="s">
        <v>111</v>
      </c>
      <c r="F3" s="20" t="s">
        <v>112</v>
      </c>
      <c r="H3" s="19" t="s">
        <v>7</v>
      </c>
      <c r="I3" s="19" t="s">
        <v>113</v>
      </c>
      <c r="K3" s="19" t="s">
        <v>4</v>
      </c>
      <c r="N3">
        <v>0</v>
      </c>
    </row>
    <row r="4" spans="1:14" x14ac:dyDescent="0.25">
      <c r="A4" s="21" t="s">
        <v>114</v>
      </c>
      <c r="B4" s="22" t="s">
        <v>115</v>
      </c>
      <c r="C4" s="21"/>
      <c r="E4" s="23" t="str">
        <f>IFERROR(INDEX($A$4:$A$1345,MATCH(1,$N$4:$N$1345,0)),"")</f>
        <v/>
      </c>
      <c r="F4" s="24" t="str">
        <f>IFERROR(INDEX($B$4:$B$1345,MATCH(1,$N$4:$N$1345,0)),"")</f>
        <v/>
      </c>
      <c r="H4" s="22" t="s">
        <v>116</v>
      </c>
      <c r="I4" s="21" t="s">
        <v>117</v>
      </c>
      <c r="K4" s="22" t="s">
        <v>118</v>
      </c>
      <c r="N4" t="str">
        <f>IF($B$1="","",IF(ISNUMBER(SEARCH($B$1,$A4&amp;" "&amp;$B4)),MAX($N$3:N3)+1,""))</f>
        <v/>
      </c>
    </row>
    <row r="5" spans="1:14" x14ac:dyDescent="0.25">
      <c r="A5" s="21" t="s">
        <v>119</v>
      </c>
      <c r="B5" s="22" t="s">
        <v>120</v>
      </c>
      <c r="C5" s="21"/>
      <c r="E5" s="23" t="str">
        <f>IFERROR(INDEX($A$4:$A$1345,MATCH(2,$N$4:$N$1345,0)),"")</f>
        <v/>
      </c>
      <c r="F5" s="24" t="str">
        <f>IFERROR(INDEX($B$4:$B$1345,MATCH(2,$N$4:$N$1345,0)),"")</f>
        <v/>
      </c>
      <c r="H5" s="22" t="s">
        <v>121</v>
      </c>
      <c r="I5" s="21" t="s">
        <v>122</v>
      </c>
      <c r="K5" s="22" t="s">
        <v>123</v>
      </c>
      <c r="N5" t="str">
        <f>IF($B$1="","",IF(ISNUMBER(SEARCH($B$1,$A5&amp;" "&amp;$B5)),MAX($N$3:N4)+1,""))</f>
        <v/>
      </c>
    </row>
    <row r="6" spans="1:14" x14ac:dyDescent="0.25">
      <c r="A6" s="21" t="s">
        <v>124</v>
      </c>
      <c r="B6" s="22" t="s">
        <v>125</v>
      </c>
      <c r="C6" s="21"/>
      <c r="E6" s="23" t="str">
        <f>IFERROR(INDEX($A$4:$A$1345,MATCH(3,$N$4:$N$1345,0)),"")</f>
        <v/>
      </c>
      <c r="F6" s="24" t="str">
        <f>IFERROR(INDEX($B$4:$B$1345,MATCH(3,$N$4:$N$1345,0)),"")</f>
        <v/>
      </c>
      <c r="H6" s="22" t="s">
        <v>126</v>
      </c>
      <c r="I6" s="21" t="s">
        <v>127</v>
      </c>
      <c r="K6" s="22" t="s">
        <v>128</v>
      </c>
      <c r="N6" t="str">
        <f>IF($B$1="","",IF(ISNUMBER(SEARCH($B$1,$A6&amp;" "&amp;$B6)),MAX($N$3:N5)+1,""))</f>
        <v/>
      </c>
    </row>
    <row r="7" spans="1:14" x14ac:dyDescent="0.25">
      <c r="A7" s="21" t="s">
        <v>129</v>
      </c>
      <c r="B7" s="22" t="s">
        <v>130</v>
      </c>
      <c r="C7" s="21"/>
      <c r="E7" s="23" t="str">
        <f>IFERROR(INDEX($A$4:$A$1345,MATCH(4,$N$4:$N$1345,0)),"")</f>
        <v/>
      </c>
      <c r="F7" s="24" t="str">
        <f>IFERROR(INDEX($B$4:$B$1345,MATCH(4,$N$4:$N$1345,0)),"")</f>
        <v/>
      </c>
      <c r="H7" s="22" t="s">
        <v>131</v>
      </c>
      <c r="I7" s="21" t="s">
        <v>132</v>
      </c>
      <c r="K7" s="22" t="s">
        <v>5</v>
      </c>
      <c r="N7" t="str">
        <f>IF($B$1="","",IF(ISNUMBER(SEARCH($B$1,$A7&amp;" "&amp;$B7)),MAX($N$3:N6)+1,""))</f>
        <v/>
      </c>
    </row>
    <row r="8" spans="1:14" x14ac:dyDescent="0.25">
      <c r="A8" s="21" t="s">
        <v>133</v>
      </c>
      <c r="B8" s="22" t="s">
        <v>134</v>
      </c>
      <c r="C8" s="21"/>
      <c r="E8" s="23" t="str">
        <f>IFERROR(INDEX($A$4:$A$1345,MATCH(5,$N$4:$N$1345,0)),"")</f>
        <v/>
      </c>
      <c r="F8" s="24" t="str">
        <f>IFERROR(INDEX($B$4:$B$1345,MATCH(5,$N$4:$N$1345,0)),"")</f>
        <v/>
      </c>
      <c r="H8" s="22" t="s">
        <v>135</v>
      </c>
      <c r="I8" s="21" t="s">
        <v>136</v>
      </c>
      <c r="K8" s="22" t="s">
        <v>137</v>
      </c>
      <c r="N8" t="str">
        <f>IF($B$1="","",IF(ISNUMBER(SEARCH($B$1,$A8&amp;" "&amp;$B8)),MAX($N$3:N7)+1,""))</f>
        <v/>
      </c>
    </row>
    <row r="9" spans="1:14" x14ac:dyDescent="0.25">
      <c r="A9" s="21" t="s">
        <v>138</v>
      </c>
      <c r="B9" s="22" t="s">
        <v>139</v>
      </c>
      <c r="C9" s="21"/>
      <c r="E9" s="23" t="str">
        <f>IFERROR(INDEX($A$4:$A$1345,MATCH(6,$N$4:$N$1345,0)),"")</f>
        <v/>
      </c>
      <c r="F9" s="24" t="str">
        <f>IFERROR(INDEX($B$4:$B$1345,MATCH(6,$N$4:$N$1345,0)),"")</f>
        <v/>
      </c>
      <c r="H9" s="22" t="s">
        <v>140</v>
      </c>
      <c r="I9" s="21" t="s">
        <v>141</v>
      </c>
      <c r="N9" t="str">
        <f>IF($B$1="","",IF(ISNUMBER(SEARCH($B$1,$A9&amp;" "&amp;$B9)),MAX($N$3:N8)+1,""))</f>
        <v/>
      </c>
    </row>
    <row r="10" spans="1:14" x14ac:dyDescent="0.25">
      <c r="A10" s="21" t="s">
        <v>142</v>
      </c>
      <c r="B10" s="22" t="s">
        <v>143</v>
      </c>
      <c r="C10" s="21"/>
      <c r="E10" s="23" t="str">
        <f>IFERROR(INDEX($A$4:$A$1345,MATCH(7,$N$4:$N$1345,0)),"")</f>
        <v/>
      </c>
      <c r="F10" s="24" t="str">
        <f>IFERROR(INDEX($B$4:$B$1345,MATCH(7,$N$4:$N$1345,0)),"")</f>
        <v/>
      </c>
      <c r="H10" s="22" t="s">
        <v>144</v>
      </c>
      <c r="I10" s="21" t="s">
        <v>145</v>
      </c>
      <c r="N10" t="str">
        <f>IF($B$1="","",IF(ISNUMBER(SEARCH($B$1,$A10&amp;" "&amp;$B10)),MAX($N$3:N9)+1,""))</f>
        <v/>
      </c>
    </row>
    <row r="11" spans="1:14" x14ac:dyDescent="0.25">
      <c r="A11" s="21" t="s">
        <v>146</v>
      </c>
      <c r="B11" s="22" t="s">
        <v>147</v>
      </c>
      <c r="C11" s="21"/>
      <c r="E11" s="23" t="str">
        <f>IFERROR(INDEX($A$4:$A$1345,MATCH(8,$N$4:$N$1345,0)),"")</f>
        <v/>
      </c>
      <c r="F11" s="24" t="str">
        <f>IFERROR(INDEX($B$4:$B$1345,MATCH(8,$N$4:$N$1345,0)),"")</f>
        <v/>
      </c>
      <c r="H11" s="22" t="s">
        <v>148</v>
      </c>
      <c r="I11" s="21" t="s">
        <v>149</v>
      </c>
      <c r="N11" t="str">
        <f>IF($B$1="","",IF(ISNUMBER(SEARCH($B$1,$A11&amp;" "&amp;$B11)),MAX($N$3:N10)+1,""))</f>
        <v/>
      </c>
    </row>
    <row r="12" spans="1:14" x14ac:dyDescent="0.25">
      <c r="A12" s="21" t="s">
        <v>150</v>
      </c>
      <c r="B12" s="22" t="s">
        <v>151</v>
      </c>
      <c r="C12" s="21"/>
      <c r="E12" s="23" t="str">
        <f>IFERROR(INDEX($A$4:$A$1345,MATCH(9,$N$4:$N$1345,0)),"")</f>
        <v/>
      </c>
      <c r="F12" s="24" t="str">
        <f>IFERROR(INDEX($B$4:$B$1345,MATCH(9,$N$4:$N$1345,0)),"")</f>
        <v/>
      </c>
      <c r="H12" s="22" t="s">
        <v>152</v>
      </c>
      <c r="I12" s="21" t="s">
        <v>153</v>
      </c>
      <c r="N12" t="str">
        <f>IF($B$1="","",IF(ISNUMBER(SEARCH($B$1,$A12&amp;" "&amp;$B12)),MAX($N$3:N11)+1,""))</f>
        <v/>
      </c>
    </row>
    <row r="13" spans="1:14" x14ac:dyDescent="0.25">
      <c r="A13" s="21" t="s">
        <v>154</v>
      </c>
      <c r="B13" s="22" t="s">
        <v>155</v>
      </c>
      <c r="C13" s="21"/>
      <c r="E13" s="23" t="str">
        <f>IFERROR(INDEX($A$4:$A$1345,MATCH(10,$N$4:$N$1345,0)),"")</f>
        <v/>
      </c>
      <c r="F13" s="24" t="str">
        <f>IFERROR(INDEX($B$4:$B$1345,MATCH(10,$N$4:$N$1345,0)),"")</f>
        <v/>
      </c>
      <c r="H13" s="22" t="s">
        <v>156</v>
      </c>
      <c r="I13" s="21" t="s">
        <v>157</v>
      </c>
      <c r="N13" t="str">
        <f>IF($B$1="","",IF(ISNUMBER(SEARCH($B$1,$A13&amp;" "&amp;$B13)),MAX($N$3:N12)+1,""))</f>
        <v/>
      </c>
    </row>
    <row r="14" spans="1:14" x14ac:dyDescent="0.25">
      <c r="A14" s="21" t="s">
        <v>158</v>
      </c>
      <c r="B14" s="22" t="s">
        <v>159</v>
      </c>
      <c r="C14" s="21"/>
      <c r="E14" s="23" t="str">
        <f>IFERROR(INDEX($A$4:$A$1345,MATCH(11,$N$4:$N$1345,0)),"")</f>
        <v/>
      </c>
      <c r="F14" s="24" t="str">
        <f>IFERROR(INDEX($B$4:$B$1345,MATCH(11,$N$4:$N$1345,0)),"")</f>
        <v/>
      </c>
      <c r="H14" s="22" t="s">
        <v>160</v>
      </c>
      <c r="I14" s="21" t="s">
        <v>161</v>
      </c>
      <c r="N14" t="str">
        <f>IF($B$1="","",IF(ISNUMBER(SEARCH($B$1,$A14&amp;" "&amp;$B14)),MAX($N$3:N13)+1,""))</f>
        <v/>
      </c>
    </row>
    <row r="15" spans="1:14" x14ac:dyDescent="0.25">
      <c r="A15" s="21" t="s">
        <v>162</v>
      </c>
      <c r="B15" s="22" t="s">
        <v>163</v>
      </c>
      <c r="C15" s="21"/>
      <c r="E15" s="23" t="str">
        <f>IFERROR(INDEX($A$4:$A$1345,MATCH(12,$N$4:$N$1345,0)),"")</f>
        <v/>
      </c>
      <c r="F15" s="24" t="str">
        <f>IFERROR(INDEX($B$4:$B$1345,MATCH(12,$N$4:$N$1345,0)),"")</f>
        <v/>
      </c>
      <c r="H15" s="22" t="s">
        <v>164</v>
      </c>
      <c r="I15" s="21" t="s">
        <v>165</v>
      </c>
      <c r="N15" t="str">
        <f>IF($B$1="","",IF(ISNUMBER(SEARCH($B$1,$A15&amp;" "&amp;$B15)),MAX($N$3:N14)+1,""))</f>
        <v/>
      </c>
    </row>
    <row r="16" spans="1:14" x14ac:dyDescent="0.25">
      <c r="A16" s="21" t="s">
        <v>166</v>
      </c>
      <c r="B16" s="22" t="s">
        <v>167</v>
      </c>
      <c r="C16" s="21"/>
      <c r="E16" s="23" t="str">
        <f>IFERROR(INDEX($A$4:$A$1345,MATCH(13,$N$4:$N$1345,0)),"")</f>
        <v/>
      </c>
      <c r="F16" s="24" t="str">
        <f>IFERROR(INDEX($B$4:$B$1345,MATCH(13,$N$4:$N$1345,0)),"")</f>
        <v/>
      </c>
      <c r="H16" s="22" t="s">
        <v>168</v>
      </c>
      <c r="I16" s="21" t="s">
        <v>169</v>
      </c>
      <c r="N16" t="str">
        <f>IF($B$1="","",IF(ISNUMBER(SEARCH($B$1,$A16&amp;" "&amp;$B16)),MAX($N$3:N15)+1,""))</f>
        <v/>
      </c>
    </row>
    <row r="17" spans="1:14" x14ac:dyDescent="0.25">
      <c r="A17" s="21" t="s">
        <v>170</v>
      </c>
      <c r="B17" s="22" t="s">
        <v>171</v>
      </c>
      <c r="C17" s="21"/>
      <c r="E17" s="23" t="str">
        <f>IFERROR(INDEX($A$4:$A$1345,MATCH(14,$N$4:$N$1345,0)),"")</f>
        <v/>
      </c>
      <c r="F17" s="24" t="str">
        <f>IFERROR(INDEX($B$4:$B$1345,MATCH(14,$N$4:$N$1345,0)),"")</f>
        <v/>
      </c>
      <c r="H17" s="22" t="s">
        <v>172</v>
      </c>
      <c r="I17" s="21" t="s">
        <v>173</v>
      </c>
      <c r="N17" t="str">
        <f>IF($B$1="","",IF(ISNUMBER(SEARCH($B$1,$A17&amp;" "&amp;$B17)),MAX($N$3:N16)+1,""))</f>
        <v/>
      </c>
    </row>
    <row r="18" spans="1:14" x14ac:dyDescent="0.25">
      <c r="A18" s="21" t="s">
        <v>174</v>
      </c>
      <c r="B18" s="22" t="s">
        <v>175</v>
      </c>
      <c r="C18" s="21"/>
      <c r="E18" s="23" t="str">
        <f>IFERROR(INDEX($A$4:$A$1345,MATCH(15,$N$4:$N$1345,0)),"")</f>
        <v/>
      </c>
      <c r="F18" s="24" t="str">
        <f>IFERROR(INDEX($B$4:$B$1345,MATCH(15,$N$4:$N$1345,0)),"")</f>
        <v/>
      </c>
      <c r="H18" s="22" t="s">
        <v>176</v>
      </c>
      <c r="I18" s="21" t="s">
        <v>177</v>
      </c>
      <c r="N18" t="str">
        <f>IF($B$1="","",IF(ISNUMBER(SEARCH($B$1,$A18&amp;" "&amp;$B18)),MAX($N$3:N17)+1,""))</f>
        <v/>
      </c>
    </row>
    <row r="19" spans="1:14" x14ac:dyDescent="0.25">
      <c r="A19" s="21" t="s">
        <v>178</v>
      </c>
      <c r="B19" s="22" t="s">
        <v>179</v>
      </c>
      <c r="C19" s="21"/>
      <c r="E19" s="23" t="str">
        <f>IFERROR(INDEX($A$4:$A$1345,MATCH(16,$N$4:$N$1345,0)),"")</f>
        <v/>
      </c>
      <c r="F19" s="24" t="str">
        <f>IFERROR(INDEX($B$4:$B$1345,MATCH(16,$N$4:$N$1345,0)),"")</f>
        <v/>
      </c>
      <c r="H19" s="22" t="s">
        <v>180</v>
      </c>
      <c r="I19" s="21" t="s">
        <v>181</v>
      </c>
      <c r="N19" t="str">
        <f>IF($B$1="","",IF(ISNUMBER(SEARCH($B$1,$A19&amp;" "&amp;$B19)),MAX($N$3:N18)+1,""))</f>
        <v/>
      </c>
    </row>
    <row r="20" spans="1:14" x14ac:dyDescent="0.25">
      <c r="A20" s="21" t="s">
        <v>182</v>
      </c>
      <c r="B20" s="22" t="s">
        <v>183</v>
      </c>
      <c r="C20" s="21"/>
      <c r="E20" s="23" t="str">
        <f>IFERROR(INDEX($A$4:$A$1345,MATCH(17,$N$4:$N$1345,0)),"")</f>
        <v/>
      </c>
      <c r="F20" s="24" t="str">
        <f>IFERROR(INDEX($B$4:$B$1345,MATCH(17,$N$4:$N$1345,0)),"")</f>
        <v/>
      </c>
      <c r="H20" s="22" t="s">
        <v>184</v>
      </c>
      <c r="I20" s="21" t="s">
        <v>185</v>
      </c>
      <c r="N20" t="str">
        <f>IF($B$1="","",IF(ISNUMBER(SEARCH($B$1,$A20&amp;" "&amp;$B20)),MAX($N$3:N19)+1,""))</f>
        <v/>
      </c>
    </row>
    <row r="21" spans="1:14" x14ac:dyDescent="0.25">
      <c r="A21" s="21" t="s">
        <v>186</v>
      </c>
      <c r="B21" s="22" t="s">
        <v>187</v>
      </c>
      <c r="C21" s="21"/>
      <c r="E21" s="23" t="str">
        <f>IFERROR(INDEX($A$4:$A$1345,MATCH(18,$N$4:$N$1345,0)),"")</f>
        <v/>
      </c>
      <c r="F21" s="24" t="str">
        <f>IFERROR(INDEX($B$4:$B$1345,MATCH(18,$N$4:$N$1345,0)),"")</f>
        <v/>
      </c>
      <c r="H21" s="22" t="s">
        <v>188</v>
      </c>
      <c r="I21" s="21" t="s">
        <v>189</v>
      </c>
      <c r="N21" t="str">
        <f>IF($B$1="","",IF(ISNUMBER(SEARCH($B$1,$A21&amp;" "&amp;$B21)),MAX($N$3:N20)+1,""))</f>
        <v/>
      </c>
    </row>
    <row r="22" spans="1:14" x14ac:dyDescent="0.25">
      <c r="A22" s="21" t="s">
        <v>190</v>
      </c>
      <c r="B22" s="22" t="s">
        <v>191</v>
      </c>
      <c r="C22" s="21"/>
      <c r="E22" s="23" t="str">
        <f>IFERROR(INDEX($A$4:$A$1345,MATCH(19,$N$4:$N$1345,0)),"")</f>
        <v/>
      </c>
      <c r="F22" s="24" t="str">
        <f>IFERROR(INDEX($B$4:$B$1345,MATCH(19,$N$4:$N$1345,0)),"")</f>
        <v/>
      </c>
      <c r="H22" s="22" t="s">
        <v>192</v>
      </c>
      <c r="I22" s="21" t="s">
        <v>193</v>
      </c>
      <c r="N22" t="str">
        <f>IF($B$1="","",IF(ISNUMBER(SEARCH($B$1,$A22&amp;" "&amp;$B22)),MAX($N$3:N21)+1,""))</f>
        <v/>
      </c>
    </row>
    <row r="23" spans="1:14" x14ac:dyDescent="0.25">
      <c r="A23" s="21" t="s">
        <v>194</v>
      </c>
      <c r="B23" s="22" t="s">
        <v>195</v>
      </c>
      <c r="C23" s="21"/>
      <c r="E23" s="23" t="str">
        <f>IFERROR(INDEX($A$4:$A$1345,MATCH(20,$N$4:$N$1345,0)),"")</f>
        <v/>
      </c>
      <c r="F23" s="24" t="str">
        <f>IFERROR(INDEX($B$4:$B$1345,MATCH(20,$N$4:$N$1345,0)),"")</f>
        <v/>
      </c>
      <c r="H23" s="22" t="s">
        <v>196</v>
      </c>
      <c r="I23" s="21" t="s">
        <v>197</v>
      </c>
      <c r="N23" t="str">
        <f>IF($B$1="","",IF(ISNUMBER(SEARCH($B$1,$A23&amp;" "&amp;$B23)),MAX($N$3:N22)+1,""))</f>
        <v/>
      </c>
    </row>
    <row r="24" spans="1:14" x14ac:dyDescent="0.25">
      <c r="A24" s="21" t="s">
        <v>198</v>
      </c>
      <c r="B24" s="22" t="s">
        <v>199</v>
      </c>
      <c r="C24" s="21"/>
      <c r="E24" s="23" t="str">
        <f>IFERROR(INDEX($A$4:$A$1345,MATCH(21,$N$4:$N$1345,0)),"")</f>
        <v/>
      </c>
      <c r="F24" s="24" t="str">
        <f>IFERROR(INDEX($B$4:$B$1345,MATCH(21,$N$4:$N$1345,0)),"")</f>
        <v/>
      </c>
      <c r="H24" s="22" t="s">
        <v>200</v>
      </c>
      <c r="I24" s="21" t="s">
        <v>201</v>
      </c>
      <c r="N24" t="str">
        <f>IF($B$1="","",IF(ISNUMBER(SEARCH($B$1,$A24&amp;" "&amp;$B24)),MAX($N$3:N23)+1,""))</f>
        <v/>
      </c>
    </row>
    <row r="25" spans="1:14" x14ac:dyDescent="0.25">
      <c r="A25" s="21" t="s">
        <v>202</v>
      </c>
      <c r="B25" s="22" t="s">
        <v>203</v>
      </c>
      <c r="C25" s="21"/>
      <c r="E25" s="23" t="str">
        <f>IFERROR(INDEX($A$4:$A$1345,MATCH(22,$N$4:$N$1345,0)),"")</f>
        <v/>
      </c>
      <c r="F25" s="24" t="str">
        <f>IFERROR(INDEX($B$4:$B$1345,MATCH(22,$N$4:$N$1345,0)),"")</f>
        <v/>
      </c>
      <c r="H25" s="22" t="s">
        <v>204</v>
      </c>
      <c r="I25" s="21" t="s">
        <v>205</v>
      </c>
      <c r="N25" t="str">
        <f>IF($B$1="","",IF(ISNUMBER(SEARCH($B$1,$A25&amp;" "&amp;$B25)),MAX($N$3:N24)+1,""))</f>
        <v/>
      </c>
    </row>
    <row r="26" spans="1:14" x14ac:dyDescent="0.25">
      <c r="A26" s="21" t="s">
        <v>206</v>
      </c>
      <c r="B26" s="22" t="s">
        <v>207</v>
      </c>
      <c r="C26" s="21"/>
      <c r="E26" s="23" t="str">
        <f>IFERROR(INDEX($A$4:$A$1345,MATCH(23,$N$4:$N$1345,0)),"")</f>
        <v/>
      </c>
      <c r="F26" s="24" t="str">
        <f>IFERROR(INDEX($B$4:$B$1345,MATCH(23,$N$4:$N$1345,0)),"")</f>
        <v/>
      </c>
      <c r="H26" s="22" t="s">
        <v>208</v>
      </c>
      <c r="I26" s="21" t="s">
        <v>209</v>
      </c>
      <c r="N26" t="str">
        <f>IF($B$1="","",IF(ISNUMBER(SEARCH($B$1,$A26&amp;" "&amp;$B26)),MAX($N$3:N25)+1,""))</f>
        <v/>
      </c>
    </row>
    <row r="27" spans="1:14" x14ac:dyDescent="0.25">
      <c r="A27" s="21" t="s">
        <v>210</v>
      </c>
      <c r="B27" s="22" t="s">
        <v>211</v>
      </c>
      <c r="C27" s="21"/>
      <c r="E27" s="23" t="str">
        <f>IFERROR(INDEX($A$4:$A$1345,MATCH(24,$N$4:$N$1345,0)),"")</f>
        <v/>
      </c>
      <c r="F27" s="24" t="str">
        <f>IFERROR(INDEX($B$4:$B$1345,MATCH(24,$N$4:$N$1345,0)),"")</f>
        <v/>
      </c>
      <c r="H27" s="22" t="s">
        <v>212</v>
      </c>
      <c r="I27" s="21" t="s">
        <v>213</v>
      </c>
      <c r="N27" t="str">
        <f>IF($B$1="","",IF(ISNUMBER(SEARCH($B$1,$A27&amp;" "&amp;$B27)),MAX($N$3:N26)+1,""))</f>
        <v/>
      </c>
    </row>
    <row r="28" spans="1:14" x14ac:dyDescent="0.25">
      <c r="A28" s="21" t="s">
        <v>214</v>
      </c>
      <c r="B28" s="22" t="s">
        <v>215</v>
      </c>
      <c r="C28" s="21"/>
      <c r="E28" s="23" t="str">
        <f>IFERROR(INDEX($A$4:$A$1345,MATCH(25,$N$4:$N$1345,0)),"")</f>
        <v/>
      </c>
      <c r="F28" s="24" t="str">
        <f>IFERROR(INDEX($B$4:$B$1345,MATCH(25,$N$4:$N$1345,0)),"")</f>
        <v/>
      </c>
      <c r="H28" s="22" t="s">
        <v>216</v>
      </c>
      <c r="I28" s="21" t="s">
        <v>217</v>
      </c>
      <c r="N28" t="str">
        <f>IF($B$1="","",IF(ISNUMBER(SEARCH($B$1,$A28&amp;" "&amp;$B28)),MAX($N$3:N27)+1,""))</f>
        <v/>
      </c>
    </row>
    <row r="29" spans="1:14" x14ac:dyDescent="0.25">
      <c r="A29" s="21" t="s">
        <v>218</v>
      </c>
      <c r="B29" s="22" t="s">
        <v>219</v>
      </c>
      <c r="C29" s="21"/>
      <c r="E29" s="23" t="str">
        <f>IFERROR(INDEX($A$4:$A$1345,MATCH(26,$N$4:$N$1345,0)),"")</f>
        <v/>
      </c>
      <c r="F29" s="24" t="str">
        <f>IFERROR(INDEX($B$4:$B$1345,MATCH(26,$N$4:$N$1345,0)),"")</f>
        <v/>
      </c>
      <c r="H29" s="22" t="s">
        <v>220</v>
      </c>
      <c r="I29" s="21" t="s">
        <v>221</v>
      </c>
      <c r="N29" t="str">
        <f>IF($B$1="","",IF(ISNUMBER(SEARCH($B$1,$A29&amp;" "&amp;$B29)),MAX($N$3:N28)+1,""))</f>
        <v/>
      </c>
    </row>
    <row r="30" spans="1:14" x14ac:dyDescent="0.25">
      <c r="A30" s="21" t="s">
        <v>222</v>
      </c>
      <c r="B30" s="22" t="s">
        <v>223</v>
      </c>
      <c r="C30" s="21"/>
      <c r="E30" s="23" t="str">
        <f>IFERROR(INDEX($A$4:$A$1345,MATCH(27,$N$4:$N$1345,0)),"")</f>
        <v/>
      </c>
      <c r="F30" s="24" t="str">
        <f>IFERROR(INDEX($B$4:$B$1345,MATCH(27,$N$4:$N$1345,0)),"")</f>
        <v/>
      </c>
      <c r="H30" s="22" t="s">
        <v>224</v>
      </c>
      <c r="I30" s="21" t="s">
        <v>225</v>
      </c>
      <c r="N30" t="str">
        <f>IF($B$1="","",IF(ISNUMBER(SEARCH($B$1,$A30&amp;" "&amp;$B30)),MAX($N$3:N29)+1,""))</f>
        <v/>
      </c>
    </row>
    <row r="31" spans="1:14" x14ac:dyDescent="0.25">
      <c r="A31" s="21" t="s">
        <v>226</v>
      </c>
      <c r="B31" s="22" t="s">
        <v>14</v>
      </c>
      <c r="C31" s="21"/>
      <c r="E31" s="23" t="str">
        <f>IFERROR(INDEX($A$4:$A$1345,MATCH(28,$N$4:$N$1345,0)),"")</f>
        <v/>
      </c>
      <c r="F31" s="24" t="str">
        <f>IFERROR(INDEX($B$4:$B$1345,MATCH(28,$N$4:$N$1345,0)),"")</f>
        <v/>
      </c>
      <c r="H31" s="22" t="s">
        <v>227</v>
      </c>
      <c r="I31" s="21" t="s">
        <v>228</v>
      </c>
      <c r="N31" t="str">
        <f>IF($B$1="","",IF(ISNUMBER(SEARCH($B$1,$A31&amp;" "&amp;$B31)),MAX($N$3:N30)+1,""))</f>
        <v/>
      </c>
    </row>
    <row r="32" spans="1:14" x14ac:dyDescent="0.25">
      <c r="A32" s="21" t="s">
        <v>229</v>
      </c>
      <c r="B32" s="22" t="s">
        <v>230</v>
      </c>
      <c r="C32" s="21"/>
      <c r="E32" s="23" t="str">
        <f>IFERROR(INDEX($A$4:$A$1345,MATCH(29,$N$4:$N$1345,0)),"")</f>
        <v/>
      </c>
      <c r="F32" s="24" t="str">
        <f>IFERROR(INDEX($B$4:$B$1345,MATCH(29,$N$4:$N$1345,0)),"")</f>
        <v/>
      </c>
      <c r="H32" s="22" t="s">
        <v>231</v>
      </c>
      <c r="I32" s="21" t="s">
        <v>232</v>
      </c>
      <c r="N32" t="str">
        <f>IF($B$1="","",IF(ISNUMBER(SEARCH($B$1,$A32&amp;" "&amp;$B32)),MAX($N$3:N31)+1,""))</f>
        <v/>
      </c>
    </row>
    <row r="33" spans="1:14" x14ac:dyDescent="0.25">
      <c r="A33" s="21" t="s">
        <v>233</v>
      </c>
      <c r="B33" s="22" t="s">
        <v>234</v>
      </c>
      <c r="C33" s="21"/>
      <c r="E33" s="23" t="str">
        <f>IFERROR(INDEX($A$4:$A$1345,MATCH(30,$N$4:$N$1345,0)),"")</f>
        <v/>
      </c>
      <c r="F33" s="24" t="str">
        <f>IFERROR(INDEX($B$4:$B$1345,MATCH(30,$N$4:$N$1345,0)),"")</f>
        <v/>
      </c>
      <c r="H33" s="22" t="s">
        <v>235</v>
      </c>
      <c r="I33" s="21" t="s">
        <v>236</v>
      </c>
      <c r="N33" t="str">
        <f>IF($B$1="","",IF(ISNUMBER(SEARCH($B$1,$A33&amp;" "&amp;$B33)),MAX($N$3:N32)+1,""))</f>
        <v/>
      </c>
    </row>
    <row r="34" spans="1:14" x14ac:dyDescent="0.25">
      <c r="A34" s="21" t="s">
        <v>237</v>
      </c>
      <c r="B34" s="22" t="s">
        <v>238</v>
      </c>
      <c r="C34" s="21"/>
      <c r="E34" s="23" t="str">
        <f>IFERROR(INDEX($A$4:$A$1345,MATCH(31,$N$4:$N$1345,0)),"")</f>
        <v/>
      </c>
      <c r="F34" s="24" t="str">
        <f>IFERROR(INDEX($B$4:$B$1345,MATCH(31,$N$4:$N$1345,0)),"")</f>
        <v/>
      </c>
      <c r="H34" s="22" t="s">
        <v>239</v>
      </c>
      <c r="I34" s="21" t="s">
        <v>240</v>
      </c>
      <c r="N34" t="str">
        <f>IF($B$1="","",IF(ISNUMBER(SEARCH($B$1,$A34&amp;" "&amp;$B34)),MAX($N$3:N33)+1,""))</f>
        <v/>
      </c>
    </row>
    <row r="35" spans="1:14" x14ac:dyDescent="0.25">
      <c r="A35" s="21" t="s">
        <v>241</v>
      </c>
      <c r="B35" s="22" t="s">
        <v>242</v>
      </c>
      <c r="C35" s="21"/>
      <c r="E35" s="23" t="str">
        <f>IFERROR(INDEX($A$4:$A$1345,MATCH(32,$N$4:$N$1345,0)),"")</f>
        <v/>
      </c>
      <c r="F35" s="24" t="str">
        <f>IFERROR(INDEX($B$4:$B$1345,MATCH(32,$N$4:$N$1345,0)),"")</f>
        <v/>
      </c>
      <c r="H35" s="22" t="s">
        <v>243</v>
      </c>
      <c r="I35" s="21" t="s">
        <v>244</v>
      </c>
      <c r="N35" t="str">
        <f>IF($B$1="","",IF(ISNUMBER(SEARCH($B$1,$A35&amp;" "&amp;$B35)),MAX($N$3:N34)+1,""))</f>
        <v/>
      </c>
    </row>
    <row r="36" spans="1:14" x14ac:dyDescent="0.25">
      <c r="A36" s="21" t="s">
        <v>245</v>
      </c>
      <c r="B36" s="22" t="s">
        <v>246</v>
      </c>
      <c r="C36" s="21"/>
      <c r="E36" s="23" t="str">
        <f>IFERROR(INDEX($A$4:$A$1345,MATCH(33,$N$4:$N$1345,0)),"")</f>
        <v/>
      </c>
      <c r="F36" s="24" t="str">
        <f>IFERROR(INDEX($B$4:$B$1345,MATCH(33,$N$4:$N$1345,0)),"")</f>
        <v/>
      </c>
      <c r="H36" s="22" t="s">
        <v>247</v>
      </c>
      <c r="I36" s="21" t="s">
        <v>248</v>
      </c>
      <c r="N36" t="str">
        <f>IF($B$1="","",IF(ISNUMBER(SEARCH($B$1,$A36&amp;" "&amp;$B36)),MAX($N$3:N35)+1,""))</f>
        <v/>
      </c>
    </row>
    <row r="37" spans="1:14" x14ac:dyDescent="0.25">
      <c r="A37" s="21" t="s">
        <v>249</v>
      </c>
      <c r="B37" s="22" t="s">
        <v>250</v>
      </c>
      <c r="C37" s="21"/>
      <c r="E37" s="23" t="str">
        <f>IFERROR(INDEX($A$4:$A$1345,MATCH(34,$N$4:$N$1345,0)),"")</f>
        <v/>
      </c>
      <c r="F37" s="24" t="str">
        <f>IFERROR(INDEX($B$4:$B$1345,MATCH(34,$N$4:$N$1345,0)),"")</f>
        <v/>
      </c>
      <c r="H37" s="22" t="s">
        <v>251</v>
      </c>
      <c r="I37" s="21" t="s">
        <v>252</v>
      </c>
      <c r="N37" t="str">
        <f>IF($B$1="","",IF(ISNUMBER(SEARCH($B$1,$A37&amp;" "&amp;$B37)),MAX($N$3:N36)+1,""))</f>
        <v/>
      </c>
    </row>
    <row r="38" spans="1:14" x14ac:dyDescent="0.25">
      <c r="A38" s="21" t="s">
        <v>253</v>
      </c>
      <c r="B38" s="22" t="s">
        <v>254</v>
      </c>
      <c r="C38" s="21"/>
      <c r="E38" s="23" t="str">
        <f>IFERROR(INDEX($A$4:$A$1345,MATCH(35,$N$4:$N$1345,0)),"")</f>
        <v/>
      </c>
      <c r="F38" s="24" t="str">
        <f>IFERROR(INDEX($B$4:$B$1345,MATCH(35,$N$4:$N$1345,0)),"")</f>
        <v/>
      </c>
      <c r="H38" s="22" t="s">
        <v>255</v>
      </c>
      <c r="I38" s="21" t="s">
        <v>256</v>
      </c>
      <c r="N38" t="str">
        <f>IF($B$1="","",IF(ISNUMBER(SEARCH($B$1,$A38&amp;" "&amp;$B38)),MAX($N$3:N37)+1,""))</f>
        <v/>
      </c>
    </row>
    <row r="39" spans="1:14" x14ac:dyDescent="0.25">
      <c r="A39" s="21" t="s">
        <v>257</v>
      </c>
      <c r="B39" s="22" t="s">
        <v>258</v>
      </c>
      <c r="C39" s="21"/>
      <c r="E39" s="23" t="str">
        <f>IFERROR(INDEX($A$4:$A$1345,MATCH(36,$N$4:$N$1345,0)),"")</f>
        <v/>
      </c>
      <c r="F39" s="24" t="str">
        <f>IFERROR(INDEX($B$4:$B$1345,MATCH(36,$N$4:$N$1345,0)),"")</f>
        <v/>
      </c>
      <c r="H39" s="22" t="s">
        <v>259</v>
      </c>
      <c r="I39" s="21" t="s">
        <v>260</v>
      </c>
      <c r="N39" t="str">
        <f>IF($B$1="","",IF(ISNUMBER(SEARCH($B$1,$A39&amp;" "&amp;$B39)),MAX($N$3:N38)+1,""))</f>
        <v/>
      </c>
    </row>
    <row r="40" spans="1:14" x14ac:dyDescent="0.25">
      <c r="A40" s="21" t="s">
        <v>261</v>
      </c>
      <c r="B40" s="22" t="s">
        <v>262</v>
      </c>
      <c r="C40" s="21"/>
      <c r="E40" s="23" t="str">
        <f>IFERROR(INDEX($A$4:$A$1345,MATCH(37,$N$4:$N$1345,0)),"")</f>
        <v/>
      </c>
      <c r="F40" s="24" t="str">
        <f>IFERROR(INDEX($B$4:$B$1345,MATCH(37,$N$4:$N$1345,0)),"")</f>
        <v/>
      </c>
      <c r="H40" s="22" t="s">
        <v>263</v>
      </c>
      <c r="I40" s="21" t="s">
        <v>264</v>
      </c>
      <c r="N40" t="str">
        <f>IF($B$1="","",IF(ISNUMBER(SEARCH($B$1,$A40&amp;" "&amp;$B40)),MAX($N$3:N39)+1,""))</f>
        <v/>
      </c>
    </row>
    <row r="41" spans="1:14" x14ac:dyDescent="0.25">
      <c r="A41" s="21" t="s">
        <v>265</v>
      </c>
      <c r="B41" s="22" t="s">
        <v>266</v>
      </c>
      <c r="C41" s="21"/>
      <c r="E41" s="23" t="str">
        <f>IFERROR(INDEX($A$4:$A$1345,MATCH(38,$N$4:$N$1345,0)),"")</f>
        <v/>
      </c>
      <c r="F41" s="24" t="str">
        <f>IFERROR(INDEX($B$4:$B$1345,MATCH(38,$N$4:$N$1345,0)),"")</f>
        <v/>
      </c>
      <c r="H41" s="22" t="s">
        <v>267</v>
      </c>
      <c r="I41" s="21" t="s">
        <v>268</v>
      </c>
      <c r="N41" t="str">
        <f>IF($B$1="","",IF(ISNUMBER(SEARCH($B$1,$A41&amp;" "&amp;$B41)),MAX($N$3:N40)+1,""))</f>
        <v/>
      </c>
    </row>
    <row r="42" spans="1:14" x14ac:dyDescent="0.25">
      <c r="A42" s="21" t="s">
        <v>269</v>
      </c>
      <c r="B42" s="22" t="s">
        <v>270</v>
      </c>
      <c r="C42" s="21"/>
      <c r="E42" s="23" t="str">
        <f>IFERROR(INDEX($A$4:$A$1345,MATCH(39,$N$4:$N$1345,0)),"")</f>
        <v/>
      </c>
      <c r="F42" s="24" t="str">
        <f>IFERROR(INDEX($B$4:$B$1345,MATCH(39,$N$4:$N$1345,0)),"")</f>
        <v/>
      </c>
      <c r="H42" s="22" t="s">
        <v>271</v>
      </c>
      <c r="I42" s="21" t="s">
        <v>272</v>
      </c>
      <c r="N42" t="str">
        <f>IF($B$1="","",IF(ISNUMBER(SEARCH($B$1,$A42&amp;" "&amp;$B42)),MAX($N$3:N41)+1,""))</f>
        <v/>
      </c>
    </row>
    <row r="43" spans="1:14" x14ac:dyDescent="0.25">
      <c r="A43" s="21" t="s">
        <v>273</v>
      </c>
      <c r="B43" s="22" t="s">
        <v>274</v>
      </c>
      <c r="C43" s="21"/>
      <c r="E43" s="23" t="str">
        <f>IFERROR(INDEX($A$4:$A$1345,MATCH(40,$N$4:$N$1345,0)),"")</f>
        <v/>
      </c>
      <c r="F43" s="24" t="str">
        <f>IFERROR(INDEX($B$4:$B$1345,MATCH(40,$N$4:$N$1345,0)),"")</f>
        <v/>
      </c>
      <c r="H43" s="22" t="s">
        <v>275</v>
      </c>
      <c r="I43" s="21" t="s">
        <v>276</v>
      </c>
      <c r="N43" t="str">
        <f>IF($B$1="","",IF(ISNUMBER(SEARCH($B$1,$A43&amp;" "&amp;$B43)),MAX($N$3:N42)+1,""))</f>
        <v/>
      </c>
    </row>
    <row r="44" spans="1:14" x14ac:dyDescent="0.25">
      <c r="A44" s="21" t="s">
        <v>277</v>
      </c>
      <c r="B44" s="22" t="s">
        <v>278</v>
      </c>
      <c r="C44" s="21"/>
      <c r="E44" s="23" t="str">
        <f>IFERROR(INDEX($A$4:$A$1345,MATCH(41,$N$4:$N$1345,0)),"")</f>
        <v/>
      </c>
      <c r="F44" s="24" t="str">
        <f>IFERROR(INDEX($B$4:$B$1345,MATCH(41,$N$4:$N$1345,0)),"")</f>
        <v/>
      </c>
      <c r="H44" s="22" t="s">
        <v>279</v>
      </c>
      <c r="I44" s="21" t="s">
        <v>280</v>
      </c>
      <c r="N44" t="str">
        <f>IF($B$1="","",IF(ISNUMBER(SEARCH($B$1,$A44&amp;" "&amp;$B44)),MAX($N$3:N43)+1,""))</f>
        <v/>
      </c>
    </row>
    <row r="45" spans="1:14" x14ac:dyDescent="0.25">
      <c r="A45" s="21" t="s">
        <v>281</v>
      </c>
      <c r="B45" s="22" t="s">
        <v>282</v>
      </c>
      <c r="C45" s="21"/>
      <c r="E45" s="23" t="str">
        <f>IFERROR(INDEX($A$4:$A$1345,MATCH(42,$N$4:$N$1345,0)),"")</f>
        <v/>
      </c>
      <c r="F45" s="24" t="str">
        <f>IFERROR(INDEX($B$4:$B$1345,MATCH(42,$N$4:$N$1345,0)),"")</f>
        <v/>
      </c>
      <c r="H45" s="22" t="s">
        <v>283</v>
      </c>
      <c r="I45" s="21" t="s">
        <v>284</v>
      </c>
      <c r="N45" t="str">
        <f>IF($B$1="","",IF(ISNUMBER(SEARCH($B$1,$A45&amp;" "&amp;$B45)),MAX($N$3:N44)+1,""))</f>
        <v/>
      </c>
    </row>
    <row r="46" spans="1:14" x14ac:dyDescent="0.25">
      <c r="A46" s="21" t="s">
        <v>285</v>
      </c>
      <c r="B46" s="22" t="s">
        <v>286</v>
      </c>
      <c r="C46" s="21"/>
      <c r="E46" s="23" t="str">
        <f>IFERROR(INDEX($A$4:$A$1345,MATCH(43,$N$4:$N$1345,0)),"")</f>
        <v/>
      </c>
      <c r="F46" s="24" t="str">
        <f>IFERROR(INDEX($B$4:$B$1345,MATCH(43,$N$4:$N$1345,0)),"")</f>
        <v/>
      </c>
      <c r="N46" t="str">
        <f>IF($B$1="","",IF(ISNUMBER(SEARCH($B$1,$A46&amp;" "&amp;$B46)),MAX($N$3:N45)+1,""))</f>
        <v/>
      </c>
    </row>
    <row r="47" spans="1:14" x14ac:dyDescent="0.25">
      <c r="A47" s="21" t="s">
        <v>287</v>
      </c>
      <c r="B47" s="22" t="s">
        <v>288</v>
      </c>
      <c r="C47" s="21"/>
      <c r="E47" s="23" t="str">
        <f>IFERROR(INDEX($A$4:$A$1345,MATCH(44,$N$4:$N$1345,0)),"")</f>
        <v/>
      </c>
      <c r="F47" s="24" t="str">
        <f>IFERROR(INDEX($B$4:$B$1345,MATCH(44,$N$4:$N$1345,0)),"")</f>
        <v/>
      </c>
      <c r="N47" t="str">
        <f>IF($B$1="","",IF(ISNUMBER(SEARCH($B$1,$A47&amp;" "&amp;$B47)),MAX($N$3:N46)+1,""))</f>
        <v/>
      </c>
    </row>
    <row r="48" spans="1:14" x14ac:dyDescent="0.25">
      <c r="A48" s="21" t="s">
        <v>289</v>
      </c>
      <c r="B48" s="22" t="s">
        <v>290</v>
      </c>
      <c r="C48" s="21"/>
      <c r="E48" s="23" t="str">
        <f>IFERROR(INDEX($A$4:$A$1345,MATCH(45,$N$4:$N$1345,0)),"")</f>
        <v/>
      </c>
      <c r="F48" s="24" t="str">
        <f>IFERROR(INDEX($B$4:$B$1345,MATCH(45,$N$4:$N$1345,0)),"")</f>
        <v/>
      </c>
      <c r="N48" t="str">
        <f>IF($B$1="","",IF(ISNUMBER(SEARCH($B$1,$A48&amp;" "&amp;$B48)),MAX($N$3:N47)+1,""))</f>
        <v/>
      </c>
    </row>
    <row r="49" spans="1:14" x14ac:dyDescent="0.25">
      <c r="A49" s="21" t="s">
        <v>291</v>
      </c>
      <c r="B49" s="22" t="s">
        <v>292</v>
      </c>
      <c r="C49" s="21"/>
      <c r="E49" s="23" t="str">
        <f>IFERROR(INDEX($A$4:$A$1345,MATCH(46,$N$4:$N$1345,0)),"")</f>
        <v/>
      </c>
      <c r="F49" s="24" t="str">
        <f>IFERROR(INDEX($B$4:$B$1345,MATCH(46,$N$4:$N$1345,0)),"")</f>
        <v/>
      </c>
      <c r="N49" t="str">
        <f>IF($B$1="","",IF(ISNUMBER(SEARCH($B$1,$A49&amp;" "&amp;$B49)),MAX($N$3:N48)+1,""))</f>
        <v/>
      </c>
    </row>
    <row r="50" spans="1:14" x14ac:dyDescent="0.25">
      <c r="A50" s="21" t="s">
        <v>293</v>
      </c>
      <c r="B50" s="22" t="s">
        <v>294</v>
      </c>
      <c r="C50" s="21"/>
      <c r="E50" s="23" t="str">
        <f>IFERROR(INDEX($A$4:$A$1345,MATCH(47,$N$4:$N$1345,0)),"")</f>
        <v/>
      </c>
      <c r="F50" s="24" t="str">
        <f>IFERROR(INDEX($B$4:$B$1345,MATCH(47,$N$4:$N$1345,0)),"")</f>
        <v/>
      </c>
      <c r="N50" t="str">
        <f>IF($B$1="","",IF(ISNUMBER(SEARCH($B$1,$A50&amp;" "&amp;$B50)),MAX($N$3:N49)+1,""))</f>
        <v/>
      </c>
    </row>
    <row r="51" spans="1:14" x14ac:dyDescent="0.25">
      <c r="A51" s="21" t="s">
        <v>295</v>
      </c>
      <c r="B51" s="22" t="s">
        <v>296</v>
      </c>
      <c r="C51" s="21"/>
      <c r="E51" s="23" t="str">
        <f>IFERROR(INDEX($A$4:$A$1345,MATCH(48,$N$4:$N$1345,0)),"")</f>
        <v/>
      </c>
      <c r="F51" s="24" t="str">
        <f>IFERROR(INDEX($B$4:$B$1345,MATCH(48,$N$4:$N$1345,0)),"")</f>
        <v/>
      </c>
      <c r="N51" t="str">
        <f>IF($B$1="","",IF(ISNUMBER(SEARCH($B$1,$A51&amp;" "&amp;$B51)),MAX($N$3:N50)+1,""))</f>
        <v/>
      </c>
    </row>
    <row r="52" spans="1:14" x14ac:dyDescent="0.25">
      <c r="A52" s="21" t="s">
        <v>297</v>
      </c>
      <c r="B52" s="22" t="s">
        <v>298</v>
      </c>
      <c r="C52" s="21"/>
      <c r="E52" s="23" t="str">
        <f>IFERROR(INDEX($A$4:$A$1345,MATCH(49,$N$4:$N$1345,0)),"")</f>
        <v/>
      </c>
      <c r="F52" s="24" t="str">
        <f>IFERROR(INDEX($B$4:$B$1345,MATCH(49,$N$4:$N$1345,0)),"")</f>
        <v/>
      </c>
      <c r="N52" t="str">
        <f>IF($B$1="","",IF(ISNUMBER(SEARCH($B$1,$A52&amp;" "&amp;$B52)),MAX($N$3:N51)+1,""))</f>
        <v/>
      </c>
    </row>
    <row r="53" spans="1:14" x14ac:dyDescent="0.25">
      <c r="A53" s="21" t="s">
        <v>299</v>
      </c>
      <c r="B53" s="22" t="s">
        <v>300</v>
      </c>
      <c r="C53" s="21"/>
      <c r="E53" s="23" t="str">
        <f>IFERROR(INDEX($A$4:$A$1345,MATCH(50,$N$4:$N$1345,0)),"")</f>
        <v/>
      </c>
      <c r="F53" s="24" t="str">
        <f>IFERROR(INDEX($B$4:$B$1345,MATCH(50,$N$4:$N$1345,0)),"")</f>
        <v/>
      </c>
      <c r="N53" t="str">
        <f>IF($B$1="","",IF(ISNUMBER(SEARCH($B$1,$A53&amp;" "&amp;$B53)),MAX($N$3:N52)+1,""))</f>
        <v/>
      </c>
    </row>
    <row r="54" spans="1:14" x14ac:dyDescent="0.25">
      <c r="A54" s="21" t="s">
        <v>301</v>
      </c>
      <c r="B54" s="22" t="s">
        <v>302</v>
      </c>
      <c r="C54" s="21"/>
      <c r="F54" s="25" t="str">
        <f>IF(COUNT($N$4:$N$1345)&gt;50,"...only the first 50 matches are shown - type more letters to narrow it","")</f>
        <v/>
      </c>
      <c r="N54" t="str">
        <f>IF($B$1="","",IF(ISNUMBER(SEARCH($B$1,$A54&amp;" "&amp;$B54)),MAX($N$3:N53)+1,""))</f>
        <v/>
      </c>
    </row>
    <row r="55" spans="1:14" x14ac:dyDescent="0.25">
      <c r="A55" s="21" t="s">
        <v>303</v>
      </c>
      <c r="B55" s="22" t="s">
        <v>304</v>
      </c>
      <c r="C55" s="21"/>
      <c r="N55" t="str">
        <f>IF($B$1="","",IF(ISNUMBER(SEARCH($B$1,$A55&amp;" "&amp;$B55)),MAX($N$3:N54)+1,""))</f>
        <v/>
      </c>
    </row>
    <row r="56" spans="1:14" x14ac:dyDescent="0.25">
      <c r="A56" s="21" t="s">
        <v>305</v>
      </c>
      <c r="B56" s="22" t="s">
        <v>306</v>
      </c>
      <c r="C56" s="21"/>
      <c r="N56" t="str">
        <f>IF($B$1="","",IF(ISNUMBER(SEARCH($B$1,$A56&amp;" "&amp;$B56)),MAX($N$3:N55)+1,""))</f>
        <v/>
      </c>
    </row>
    <row r="57" spans="1:14" x14ac:dyDescent="0.25">
      <c r="A57" s="21" t="s">
        <v>307</v>
      </c>
      <c r="B57" s="22" t="s">
        <v>308</v>
      </c>
      <c r="C57" s="21"/>
      <c r="N57" t="str">
        <f>IF($B$1="","",IF(ISNUMBER(SEARCH($B$1,$A57&amp;" "&amp;$B57)),MAX($N$3:N56)+1,""))</f>
        <v/>
      </c>
    </row>
    <row r="58" spans="1:14" x14ac:dyDescent="0.25">
      <c r="A58" s="21" t="s">
        <v>309</v>
      </c>
      <c r="B58" s="22" t="s">
        <v>31</v>
      </c>
      <c r="C58" s="21"/>
      <c r="N58" t="str">
        <f>IF($B$1="","",IF(ISNUMBER(SEARCH($B$1,$A58&amp;" "&amp;$B58)),MAX($N$3:N57)+1,""))</f>
        <v/>
      </c>
    </row>
    <row r="59" spans="1:14" x14ac:dyDescent="0.25">
      <c r="A59" s="21" t="s">
        <v>310</v>
      </c>
      <c r="B59" s="22" t="s">
        <v>311</v>
      </c>
      <c r="C59" s="21"/>
      <c r="N59" t="str">
        <f>IF($B$1="","",IF(ISNUMBER(SEARCH($B$1,$A59&amp;" "&amp;$B59)),MAX($N$3:N58)+1,""))</f>
        <v/>
      </c>
    </row>
    <row r="60" spans="1:14" x14ac:dyDescent="0.25">
      <c r="A60" s="21" t="s">
        <v>312</v>
      </c>
      <c r="B60" s="22" t="s">
        <v>313</v>
      </c>
      <c r="C60" s="21"/>
      <c r="N60" t="str">
        <f>IF($B$1="","",IF(ISNUMBER(SEARCH($B$1,$A60&amp;" "&amp;$B60)),MAX($N$3:N59)+1,""))</f>
        <v/>
      </c>
    </row>
    <row r="61" spans="1:14" x14ac:dyDescent="0.25">
      <c r="A61" s="21" t="s">
        <v>314</v>
      </c>
      <c r="B61" s="22" t="s">
        <v>315</v>
      </c>
      <c r="C61" s="21"/>
      <c r="N61" t="str">
        <f>IF($B$1="","",IF(ISNUMBER(SEARCH($B$1,$A61&amp;" "&amp;$B61)),MAX($N$3:N60)+1,""))</f>
        <v/>
      </c>
    </row>
    <row r="62" spans="1:14" x14ac:dyDescent="0.25">
      <c r="A62" s="21" t="s">
        <v>316</v>
      </c>
      <c r="B62" s="22" t="s">
        <v>317</v>
      </c>
      <c r="C62" s="21"/>
      <c r="N62" t="str">
        <f>IF($B$1="","",IF(ISNUMBER(SEARCH($B$1,$A62&amp;" "&amp;$B62)),MAX($N$3:N61)+1,""))</f>
        <v/>
      </c>
    </row>
    <row r="63" spans="1:14" x14ac:dyDescent="0.25">
      <c r="A63" s="21" t="s">
        <v>318</v>
      </c>
      <c r="B63" s="22" t="s">
        <v>319</v>
      </c>
      <c r="C63" s="21"/>
      <c r="N63" t="str">
        <f>IF($B$1="","",IF(ISNUMBER(SEARCH($B$1,$A63&amp;" "&amp;$B63)),MAX($N$3:N62)+1,""))</f>
        <v/>
      </c>
    </row>
    <row r="64" spans="1:14" x14ac:dyDescent="0.25">
      <c r="A64" s="21" t="s">
        <v>320</v>
      </c>
      <c r="B64" s="22" t="s">
        <v>321</v>
      </c>
      <c r="C64" s="21"/>
      <c r="N64" t="str">
        <f>IF($B$1="","",IF(ISNUMBER(SEARCH($B$1,$A64&amp;" "&amp;$B64)),MAX($N$3:N63)+1,""))</f>
        <v/>
      </c>
    </row>
    <row r="65" spans="1:14" x14ac:dyDescent="0.25">
      <c r="A65" s="21" t="s">
        <v>322</v>
      </c>
      <c r="B65" s="22" t="s">
        <v>323</v>
      </c>
      <c r="C65" s="21"/>
      <c r="N65" t="str">
        <f>IF($B$1="","",IF(ISNUMBER(SEARCH($B$1,$A65&amp;" "&amp;$B65)),MAX($N$3:N64)+1,""))</f>
        <v/>
      </c>
    </row>
    <row r="66" spans="1:14" x14ac:dyDescent="0.25">
      <c r="A66" s="21" t="s">
        <v>324</v>
      </c>
      <c r="B66" s="22" t="s">
        <v>325</v>
      </c>
      <c r="C66" s="21"/>
      <c r="N66" t="str">
        <f>IF($B$1="","",IF(ISNUMBER(SEARCH($B$1,$A66&amp;" "&amp;$B66)),MAX($N$3:N65)+1,""))</f>
        <v/>
      </c>
    </row>
    <row r="67" spans="1:14" x14ac:dyDescent="0.25">
      <c r="A67" s="21" t="s">
        <v>326</v>
      </c>
      <c r="B67" s="22" t="s">
        <v>327</v>
      </c>
      <c r="C67" s="21"/>
      <c r="N67" t="str">
        <f>IF($B$1="","",IF(ISNUMBER(SEARCH($B$1,$A67&amp;" "&amp;$B67)),MAX($N$3:N66)+1,""))</f>
        <v/>
      </c>
    </row>
    <row r="68" spans="1:14" x14ac:dyDescent="0.25">
      <c r="A68" s="21" t="s">
        <v>328</v>
      </c>
      <c r="B68" s="22" t="s">
        <v>329</v>
      </c>
      <c r="C68" s="21"/>
      <c r="N68" t="str">
        <f>IF($B$1="","",IF(ISNUMBER(SEARCH($B$1,$A68&amp;" "&amp;$B68)),MAX($N$3:N67)+1,""))</f>
        <v/>
      </c>
    </row>
    <row r="69" spans="1:14" x14ac:dyDescent="0.25">
      <c r="A69" s="21" t="s">
        <v>330</v>
      </c>
      <c r="B69" s="22" t="s">
        <v>331</v>
      </c>
      <c r="C69" s="21"/>
      <c r="N69" t="str">
        <f>IF($B$1="","",IF(ISNUMBER(SEARCH($B$1,$A69&amp;" "&amp;$B69)),MAX($N$3:N68)+1,""))</f>
        <v/>
      </c>
    </row>
    <row r="70" spans="1:14" x14ac:dyDescent="0.25">
      <c r="A70" s="21" t="s">
        <v>332</v>
      </c>
      <c r="B70" s="22" t="s">
        <v>333</v>
      </c>
      <c r="C70" s="21"/>
      <c r="N70" t="str">
        <f>IF($B$1="","",IF(ISNUMBER(SEARCH($B$1,$A70&amp;" "&amp;$B70)),MAX($N$3:N69)+1,""))</f>
        <v/>
      </c>
    </row>
    <row r="71" spans="1:14" x14ac:dyDescent="0.25">
      <c r="A71" s="21" t="s">
        <v>334</v>
      </c>
      <c r="B71" s="22" t="s">
        <v>335</v>
      </c>
      <c r="C71" s="21"/>
      <c r="N71" t="str">
        <f>IF($B$1="","",IF(ISNUMBER(SEARCH($B$1,$A71&amp;" "&amp;$B71)),MAX($N$3:N70)+1,""))</f>
        <v/>
      </c>
    </row>
    <row r="72" spans="1:14" x14ac:dyDescent="0.25">
      <c r="A72" s="21" t="s">
        <v>336</v>
      </c>
      <c r="B72" s="22" t="s">
        <v>337</v>
      </c>
      <c r="C72" s="21"/>
      <c r="N72" t="str">
        <f>IF($B$1="","",IF(ISNUMBER(SEARCH($B$1,$A72&amp;" "&amp;$B72)),MAX($N$3:N71)+1,""))</f>
        <v/>
      </c>
    </row>
    <row r="73" spans="1:14" x14ac:dyDescent="0.25">
      <c r="A73" s="21" t="s">
        <v>338</v>
      </c>
      <c r="B73" s="22" t="s">
        <v>339</v>
      </c>
      <c r="C73" s="21"/>
      <c r="N73" t="str">
        <f>IF($B$1="","",IF(ISNUMBER(SEARCH($B$1,$A73&amp;" "&amp;$B73)),MAX($N$3:N72)+1,""))</f>
        <v/>
      </c>
    </row>
    <row r="74" spans="1:14" x14ac:dyDescent="0.25">
      <c r="A74" s="21" t="s">
        <v>340</v>
      </c>
      <c r="B74" s="22" t="s">
        <v>341</v>
      </c>
      <c r="C74" s="21"/>
      <c r="N74" t="str">
        <f>IF($B$1="","",IF(ISNUMBER(SEARCH($B$1,$A74&amp;" "&amp;$B74)),MAX($N$3:N73)+1,""))</f>
        <v/>
      </c>
    </row>
    <row r="75" spans="1:14" x14ac:dyDescent="0.25">
      <c r="A75" s="21" t="s">
        <v>342</v>
      </c>
      <c r="B75" s="22" t="s">
        <v>343</v>
      </c>
      <c r="C75" s="21"/>
      <c r="N75" t="str">
        <f>IF($B$1="","",IF(ISNUMBER(SEARCH($B$1,$A75&amp;" "&amp;$B75)),MAX($N$3:N74)+1,""))</f>
        <v/>
      </c>
    </row>
    <row r="76" spans="1:14" x14ac:dyDescent="0.25">
      <c r="A76" s="21" t="s">
        <v>344</v>
      </c>
      <c r="B76" s="22" t="s">
        <v>345</v>
      </c>
      <c r="C76" s="21"/>
      <c r="N76" t="str">
        <f>IF($B$1="","",IF(ISNUMBER(SEARCH($B$1,$A76&amp;" "&amp;$B76)),MAX($N$3:N75)+1,""))</f>
        <v/>
      </c>
    </row>
    <row r="77" spans="1:14" x14ac:dyDescent="0.25">
      <c r="A77" s="21" t="s">
        <v>346</v>
      </c>
      <c r="B77" s="22" t="s">
        <v>347</v>
      </c>
      <c r="C77" s="21"/>
      <c r="N77" t="str">
        <f>IF($B$1="","",IF(ISNUMBER(SEARCH($B$1,$A77&amp;" "&amp;$B77)),MAX($N$3:N76)+1,""))</f>
        <v/>
      </c>
    </row>
    <row r="78" spans="1:14" x14ac:dyDescent="0.25">
      <c r="A78" s="21" t="s">
        <v>348</v>
      </c>
      <c r="B78" s="22" t="s">
        <v>349</v>
      </c>
      <c r="C78" s="21"/>
      <c r="N78" t="str">
        <f>IF($B$1="","",IF(ISNUMBER(SEARCH($B$1,$A78&amp;" "&amp;$B78)),MAX($N$3:N77)+1,""))</f>
        <v/>
      </c>
    </row>
    <row r="79" spans="1:14" x14ac:dyDescent="0.25">
      <c r="A79" s="21" t="s">
        <v>350</v>
      </c>
      <c r="B79" s="22" t="s">
        <v>351</v>
      </c>
      <c r="C79" s="21"/>
      <c r="N79" t="str">
        <f>IF($B$1="","",IF(ISNUMBER(SEARCH($B$1,$A79&amp;" "&amp;$B79)),MAX($N$3:N78)+1,""))</f>
        <v/>
      </c>
    </row>
    <row r="80" spans="1:14" x14ac:dyDescent="0.25">
      <c r="A80" s="21" t="s">
        <v>352</v>
      </c>
      <c r="B80" s="22" t="s">
        <v>353</v>
      </c>
      <c r="C80" s="21"/>
      <c r="N80" t="str">
        <f>IF($B$1="","",IF(ISNUMBER(SEARCH($B$1,$A80&amp;" "&amp;$B80)),MAX($N$3:N79)+1,""))</f>
        <v/>
      </c>
    </row>
    <row r="81" spans="1:14" x14ac:dyDescent="0.25">
      <c r="A81" s="21" t="s">
        <v>354</v>
      </c>
      <c r="B81" s="22" t="s">
        <v>355</v>
      </c>
      <c r="C81" s="21"/>
      <c r="N81" t="str">
        <f>IF($B$1="","",IF(ISNUMBER(SEARCH($B$1,$A81&amp;" "&amp;$B81)),MAX($N$3:N80)+1,""))</f>
        <v/>
      </c>
    </row>
    <row r="82" spans="1:14" x14ac:dyDescent="0.25">
      <c r="A82" s="21" t="s">
        <v>356</v>
      </c>
      <c r="B82" s="22" t="s">
        <v>357</v>
      </c>
      <c r="C82" s="21"/>
      <c r="N82" t="str">
        <f>IF($B$1="","",IF(ISNUMBER(SEARCH($B$1,$A82&amp;" "&amp;$B82)),MAX($N$3:N81)+1,""))</f>
        <v/>
      </c>
    </row>
    <row r="83" spans="1:14" x14ac:dyDescent="0.25">
      <c r="A83" s="21" t="s">
        <v>358</v>
      </c>
      <c r="B83" s="22" t="s">
        <v>359</v>
      </c>
      <c r="C83" s="21"/>
      <c r="N83" t="str">
        <f>IF($B$1="","",IF(ISNUMBER(SEARCH($B$1,$A83&amp;" "&amp;$B83)),MAX($N$3:N82)+1,""))</f>
        <v/>
      </c>
    </row>
    <row r="84" spans="1:14" x14ac:dyDescent="0.25">
      <c r="A84" s="21" t="s">
        <v>360</v>
      </c>
      <c r="B84" s="22" t="s">
        <v>361</v>
      </c>
      <c r="C84" s="21"/>
      <c r="N84" t="str">
        <f>IF($B$1="","",IF(ISNUMBER(SEARCH($B$1,$A84&amp;" "&amp;$B84)),MAX($N$3:N83)+1,""))</f>
        <v/>
      </c>
    </row>
    <row r="85" spans="1:14" x14ac:dyDescent="0.25">
      <c r="A85" s="21" t="s">
        <v>362</v>
      </c>
      <c r="B85" s="22" t="s">
        <v>363</v>
      </c>
      <c r="C85" s="21"/>
      <c r="N85" t="str">
        <f>IF($B$1="","",IF(ISNUMBER(SEARCH($B$1,$A85&amp;" "&amp;$B85)),MAX($N$3:N84)+1,""))</f>
        <v/>
      </c>
    </row>
    <row r="86" spans="1:14" x14ac:dyDescent="0.25">
      <c r="A86" s="21" t="s">
        <v>364</v>
      </c>
      <c r="B86" s="22" t="s">
        <v>365</v>
      </c>
      <c r="C86" s="21"/>
      <c r="N86" t="str">
        <f>IF($B$1="","",IF(ISNUMBER(SEARCH($B$1,$A86&amp;" "&amp;$B86)),MAX($N$3:N85)+1,""))</f>
        <v/>
      </c>
    </row>
    <row r="87" spans="1:14" x14ac:dyDescent="0.25">
      <c r="A87" s="21" t="s">
        <v>366</v>
      </c>
      <c r="B87" s="22" t="s">
        <v>367</v>
      </c>
      <c r="C87" s="21"/>
      <c r="N87" t="str">
        <f>IF($B$1="","",IF(ISNUMBER(SEARCH($B$1,$A87&amp;" "&amp;$B87)),MAX($N$3:N86)+1,""))</f>
        <v/>
      </c>
    </row>
    <row r="88" spans="1:14" x14ac:dyDescent="0.25">
      <c r="A88" s="21" t="s">
        <v>368</v>
      </c>
      <c r="B88" s="22" t="s">
        <v>369</v>
      </c>
      <c r="C88" s="21"/>
      <c r="N88" t="str">
        <f>IF($B$1="","",IF(ISNUMBER(SEARCH($B$1,$A88&amp;" "&amp;$B88)),MAX($N$3:N87)+1,""))</f>
        <v/>
      </c>
    </row>
    <row r="89" spans="1:14" x14ac:dyDescent="0.25">
      <c r="A89" s="21" t="s">
        <v>370</v>
      </c>
      <c r="B89" s="22" t="s">
        <v>371</v>
      </c>
      <c r="C89" s="21"/>
      <c r="N89" t="str">
        <f>IF($B$1="","",IF(ISNUMBER(SEARCH($B$1,$A89&amp;" "&amp;$B89)),MAX($N$3:N88)+1,""))</f>
        <v/>
      </c>
    </row>
    <row r="90" spans="1:14" x14ac:dyDescent="0.25">
      <c r="A90" s="21" t="s">
        <v>372</v>
      </c>
      <c r="B90" s="22" t="s">
        <v>373</v>
      </c>
      <c r="C90" s="21"/>
      <c r="N90" t="str">
        <f>IF($B$1="","",IF(ISNUMBER(SEARCH($B$1,$A90&amp;" "&amp;$B90)),MAX($N$3:N89)+1,""))</f>
        <v/>
      </c>
    </row>
    <row r="91" spans="1:14" x14ac:dyDescent="0.25">
      <c r="A91" s="21" t="s">
        <v>374</v>
      </c>
      <c r="B91" s="22" t="s">
        <v>375</v>
      </c>
      <c r="C91" s="21"/>
      <c r="N91" t="str">
        <f>IF($B$1="","",IF(ISNUMBER(SEARCH($B$1,$A91&amp;" "&amp;$B91)),MAX($N$3:N90)+1,""))</f>
        <v/>
      </c>
    </row>
    <row r="92" spans="1:14" x14ac:dyDescent="0.25">
      <c r="A92" s="21" t="s">
        <v>376</v>
      </c>
      <c r="B92" s="22" t="s">
        <v>377</v>
      </c>
      <c r="C92" s="21"/>
      <c r="N92" t="str">
        <f>IF($B$1="","",IF(ISNUMBER(SEARCH($B$1,$A92&amp;" "&amp;$B92)),MAX($N$3:N91)+1,""))</f>
        <v/>
      </c>
    </row>
    <row r="93" spans="1:14" x14ac:dyDescent="0.25">
      <c r="A93" s="21" t="s">
        <v>378</v>
      </c>
      <c r="B93" s="22" t="s">
        <v>379</v>
      </c>
      <c r="C93" s="21"/>
      <c r="N93" t="str">
        <f>IF($B$1="","",IF(ISNUMBER(SEARCH($B$1,$A93&amp;" "&amp;$B93)),MAX($N$3:N92)+1,""))</f>
        <v/>
      </c>
    </row>
    <row r="94" spans="1:14" x14ac:dyDescent="0.25">
      <c r="A94" s="21" t="s">
        <v>380</v>
      </c>
      <c r="B94" s="22" t="s">
        <v>381</v>
      </c>
      <c r="C94" s="21"/>
      <c r="N94" t="str">
        <f>IF($B$1="","",IF(ISNUMBER(SEARCH($B$1,$A94&amp;" "&amp;$B94)),MAX($N$3:N93)+1,""))</f>
        <v/>
      </c>
    </row>
    <row r="95" spans="1:14" x14ac:dyDescent="0.25">
      <c r="A95" s="21" t="s">
        <v>382</v>
      </c>
      <c r="B95" s="22" t="s">
        <v>383</v>
      </c>
      <c r="C95" s="21"/>
      <c r="N95" t="str">
        <f>IF($B$1="","",IF(ISNUMBER(SEARCH($B$1,$A95&amp;" "&amp;$B95)),MAX($N$3:N94)+1,""))</f>
        <v/>
      </c>
    </row>
    <row r="96" spans="1:14" x14ac:dyDescent="0.25">
      <c r="A96" s="21" t="s">
        <v>384</v>
      </c>
      <c r="B96" s="22" t="s">
        <v>385</v>
      </c>
      <c r="C96" s="21"/>
      <c r="N96" t="str">
        <f>IF($B$1="","",IF(ISNUMBER(SEARCH($B$1,$A96&amp;" "&amp;$B96)),MAX($N$3:N95)+1,""))</f>
        <v/>
      </c>
    </row>
    <row r="97" spans="1:14" x14ac:dyDescent="0.25">
      <c r="A97" s="21" t="s">
        <v>386</v>
      </c>
      <c r="B97" s="22" t="s">
        <v>387</v>
      </c>
      <c r="C97" s="21"/>
      <c r="N97" t="str">
        <f>IF($B$1="","",IF(ISNUMBER(SEARCH($B$1,$A97&amp;" "&amp;$B97)),MAX($N$3:N96)+1,""))</f>
        <v/>
      </c>
    </row>
    <row r="98" spans="1:14" x14ac:dyDescent="0.25">
      <c r="A98" s="21" t="s">
        <v>388</v>
      </c>
      <c r="B98" s="22" t="s">
        <v>389</v>
      </c>
      <c r="C98" s="21"/>
      <c r="N98" t="str">
        <f>IF($B$1="","",IF(ISNUMBER(SEARCH($B$1,$A98&amp;" "&amp;$B98)),MAX($N$3:N97)+1,""))</f>
        <v/>
      </c>
    </row>
    <row r="99" spans="1:14" x14ac:dyDescent="0.25">
      <c r="A99" s="21" t="s">
        <v>390</v>
      </c>
      <c r="B99" s="22" t="s">
        <v>391</v>
      </c>
      <c r="C99" s="21"/>
      <c r="N99" t="str">
        <f>IF($B$1="","",IF(ISNUMBER(SEARCH($B$1,$A99&amp;" "&amp;$B99)),MAX($N$3:N98)+1,""))</f>
        <v/>
      </c>
    </row>
    <row r="100" spans="1:14" x14ac:dyDescent="0.25">
      <c r="A100" s="21" t="s">
        <v>392</v>
      </c>
      <c r="B100" s="22" t="s">
        <v>393</v>
      </c>
      <c r="C100" s="21"/>
      <c r="N100" t="str">
        <f>IF($B$1="","",IF(ISNUMBER(SEARCH($B$1,$A100&amp;" "&amp;$B100)),MAX($N$3:N99)+1,""))</f>
        <v/>
      </c>
    </row>
    <row r="101" spans="1:14" x14ac:dyDescent="0.25">
      <c r="A101" s="21" t="s">
        <v>394</v>
      </c>
      <c r="B101" s="22" t="s">
        <v>395</v>
      </c>
      <c r="C101" s="21"/>
      <c r="N101" t="str">
        <f>IF($B$1="","",IF(ISNUMBER(SEARCH($B$1,$A101&amp;" "&amp;$B101)),MAX($N$3:N100)+1,""))</f>
        <v/>
      </c>
    </row>
    <row r="102" spans="1:14" x14ac:dyDescent="0.25">
      <c r="A102" s="21" t="s">
        <v>396</v>
      </c>
      <c r="B102" s="22" t="s">
        <v>397</v>
      </c>
      <c r="C102" s="21"/>
      <c r="N102" t="str">
        <f>IF($B$1="","",IF(ISNUMBER(SEARCH($B$1,$A102&amp;" "&amp;$B102)),MAX($N$3:N101)+1,""))</f>
        <v/>
      </c>
    </row>
    <row r="103" spans="1:14" x14ac:dyDescent="0.25">
      <c r="A103" s="21" t="s">
        <v>398</v>
      </c>
      <c r="B103" s="22" t="s">
        <v>399</v>
      </c>
      <c r="C103" s="21"/>
      <c r="N103" t="str">
        <f>IF($B$1="","",IF(ISNUMBER(SEARCH($B$1,$A103&amp;" "&amp;$B103)),MAX($N$3:N102)+1,""))</f>
        <v/>
      </c>
    </row>
    <row r="104" spans="1:14" x14ac:dyDescent="0.25">
      <c r="A104" s="21" t="s">
        <v>400</v>
      </c>
      <c r="B104" s="22" t="s">
        <v>401</v>
      </c>
      <c r="C104" s="21"/>
      <c r="N104" t="str">
        <f>IF($B$1="","",IF(ISNUMBER(SEARCH($B$1,$A104&amp;" "&amp;$B104)),MAX($N$3:N103)+1,""))</f>
        <v/>
      </c>
    </row>
    <row r="105" spans="1:14" x14ac:dyDescent="0.25">
      <c r="A105" s="21" t="s">
        <v>402</v>
      </c>
      <c r="B105" s="22" t="s">
        <v>403</v>
      </c>
      <c r="C105" s="21"/>
      <c r="N105" t="str">
        <f>IF($B$1="","",IF(ISNUMBER(SEARCH($B$1,$A105&amp;" "&amp;$B105)),MAX($N$3:N104)+1,""))</f>
        <v/>
      </c>
    </row>
    <row r="106" spans="1:14" x14ac:dyDescent="0.25">
      <c r="A106" s="21" t="s">
        <v>404</v>
      </c>
      <c r="B106" s="22" t="s">
        <v>405</v>
      </c>
      <c r="C106" s="21"/>
      <c r="N106" t="str">
        <f>IF($B$1="","",IF(ISNUMBER(SEARCH($B$1,$A106&amp;" "&amp;$B106)),MAX($N$3:N105)+1,""))</f>
        <v/>
      </c>
    </row>
    <row r="107" spans="1:14" x14ac:dyDescent="0.25">
      <c r="A107" s="21" t="s">
        <v>406</v>
      </c>
      <c r="B107" s="22" t="s">
        <v>407</v>
      </c>
      <c r="C107" s="21"/>
      <c r="N107" t="str">
        <f>IF($B$1="","",IF(ISNUMBER(SEARCH($B$1,$A107&amp;" "&amp;$B107)),MAX($N$3:N106)+1,""))</f>
        <v/>
      </c>
    </row>
    <row r="108" spans="1:14" x14ac:dyDescent="0.25">
      <c r="A108" s="21" t="s">
        <v>408</v>
      </c>
      <c r="B108" s="22" t="s">
        <v>409</v>
      </c>
      <c r="C108" s="21"/>
      <c r="N108" t="str">
        <f>IF($B$1="","",IF(ISNUMBER(SEARCH($B$1,$A108&amp;" "&amp;$B108)),MAX($N$3:N107)+1,""))</f>
        <v/>
      </c>
    </row>
    <row r="109" spans="1:14" x14ac:dyDescent="0.25">
      <c r="A109" s="21" t="s">
        <v>410</v>
      </c>
      <c r="B109" s="22" t="s">
        <v>411</v>
      </c>
      <c r="C109" s="21"/>
      <c r="N109" t="str">
        <f>IF($B$1="","",IF(ISNUMBER(SEARCH($B$1,$A109&amp;" "&amp;$B109)),MAX($N$3:N108)+1,""))</f>
        <v/>
      </c>
    </row>
    <row r="110" spans="1:14" x14ac:dyDescent="0.25">
      <c r="A110" s="21" t="s">
        <v>412</v>
      </c>
      <c r="B110" s="22" t="s">
        <v>413</v>
      </c>
      <c r="C110" s="21"/>
      <c r="N110" t="str">
        <f>IF($B$1="","",IF(ISNUMBER(SEARCH($B$1,$A110&amp;" "&amp;$B110)),MAX($N$3:N109)+1,""))</f>
        <v/>
      </c>
    </row>
    <row r="111" spans="1:14" x14ac:dyDescent="0.25">
      <c r="A111" s="21" t="s">
        <v>414</v>
      </c>
      <c r="B111" s="22" t="s">
        <v>415</v>
      </c>
      <c r="C111" s="21"/>
      <c r="N111" t="str">
        <f>IF($B$1="","",IF(ISNUMBER(SEARCH($B$1,$A111&amp;" "&amp;$B111)),MAX($N$3:N110)+1,""))</f>
        <v/>
      </c>
    </row>
    <row r="112" spans="1:14" x14ac:dyDescent="0.25">
      <c r="A112" s="21" t="s">
        <v>416</v>
      </c>
      <c r="B112" s="22" t="s">
        <v>417</v>
      </c>
      <c r="C112" s="21"/>
      <c r="N112" t="str">
        <f>IF($B$1="","",IF(ISNUMBER(SEARCH($B$1,$A112&amp;" "&amp;$B112)),MAX($N$3:N111)+1,""))</f>
        <v/>
      </c>
    </row>
    <row r="113" spans="1:14" x14ac:dyDescent="0.25">
      <c r="A113" s="21" t="s">
        <v>418</v>
      </c>
      <c r="B113" s="22" t="s">
        <v>419</v>
      </c>
      <c r="C113" s="21"/>
      <c r="N113" t="str">
        <f>IF($B$1="","",IF(ISNUMBER(SEARCH($B$1,$A113&amp;" "&amp;$B113)),MAX($N$3:N112)+1,""))</f>
        <v/>
      </c>
    </row>
    <row r="114" spans="1:14" x14ac:dyDescent="0.25">
      <c r="A114" s="21" t="s">
        <v>420</v>
      </c>
      <c r="B114" s="22" t="s">
        <v>421</v>
      </c>
      <c r="C114" s="21"/>
      <c r="N114" t="str">
        <f>IF($B$1="","",IF(ISNUMBER(SEARCH($B$1,$A114&amp;" "&amp;$B114)),MAX($N$3:N113)+1,""))</f>
        <v/>
      </c>
    </row>
    <row r="115" spans="1:14" x14ac:dyDescent="0.25">
      <c r="A115" s="21" t="s">
        <v>422</v>
      </c>
      <c r="B115" s="22" t="s">
        <v>423</v>
      </c>
      <c r="C115" s="21"/>
      <c r="N115" t="str">
        <f>IF($B$1="","",IF(ISNUMBER(SEARCH($B$1,$A115&amp;" "&amp;$B115)),MAX($N$3:N114)+1,""))</f>
        <v/>
      </c>
    </row>
    <row r="116" spans="1:14" x14ac:dyDescent="0.25">
      <c r="A116" s="21" t="s">
        <v>424</v>
      </c>
      <c r="B116" s="22" t="s">
        <v>37</v>
      </c>
      <c r="C116" s="21"/>
      <c r="N116" t="str">
        <f>IF($B$1="","",IF(ISNUMBER(SEARCH($B$1,$A116&amp;" "&amp;$B116)),MAX($N$3:N115)+1,""))</f>
        <v/>
      </c>
    </row>
    <row r="117" spans="1:14" x14ac:dyDescent="0.25">
      <c r="A117" s="21" t="s">
        <v>425</v>
      </c>
      <c r="B117" s="22" t="s">
        <v>426</v>
      </c>
      <c r="C117" s="21"/>
      <c r="N117" t="str">
        <f>IF($B$1="","",IF(ISNUMBER(SEARCH($B$1,$A117&amp;" "&amp;$B117)),MAX($N$3:N116)+1,""))</f>
        <v/>
      </c>
    </row>
    <row r="118" spans="1:14" x14ac:dyDescent="0.25">
      <c r="A118" s="21" t="s">
        <v>427</v>
      </c>
      <c r="B118" s="22" t="s">
        <v>428</v>
      </c>
      <c r="C118" s="21"/>
      <c r="N118" t="str">
        <f>IF($B$1="","",IF(ISNUMBER(SEARCH($B$1,$A118&amp;" "&amp;$B118)),MAX($N$3:N117)+1,""))</f>
        <v/>
      </c>
    </row>
    <row r="119" spans="1:14" x14ac:dyDescent="0.25">
      <c r="A119" s="21" t="s">
        <v>429</v>
      </c>
      <c r="B119" s="22" t="s">
        <v>430</v>
      </c>
      <c r="C119" s="21"/>
      <c r="N119" t="str">
        <f>IF($B$1="","",IF(ISNUMBER(SEARCH($B$1,$A119&amp;" "&amp;$B119)),MAX($N$3:N118)+1,""))</f>
        <v/>
      </c>
    </row>
    <row r="120" spans="1:14" x14ac:dyDescent="0.25">
      <c r="A120" s="21" t="s">
        <v>431</v>
      </c>
      <c r="B120" s="22" t="s">
        <v>432</v>
      </c>
      <c r="C120" s="21"/>
      <c r="N120" t="str">
        <f>IF($B$1="","",IF(ISNUMBER(SEARCH($B$1,$A120&amp;" "&amp;$B120)),MAX($N$3:N119)+1,""))</f>
        <v/>
      </c>
    </row>
    <row r="121" spans="1:14" x14ac:dyDescent="0.25">
      <c r="A121" s="21" t="s">
        <v>433</v>
      </c>
      <c r="B121" s="22" t="s">
        <v>434</v>
      </c>
      <c r="C121" s="21"/>
      <c r="N121" t="str">
        <f>IF($B$1="","",IF(ISNUMBER(SEARCH($B$1,$A121&amp;" "&amp;$B121)),MAX($N$3:N120)+1,""))</f>
        <v/>
      </c>
    </row>
    <row r="122" spans="1:14" x14ac:dyDescent="0.25">
      <c r="A122" s="21" t="s">
        <v>435</v>
      </c>
      <c r="B122" s="22" t="s">
        <v>436</v>
      </c>
      <c r="C122" s="21"/>
      <c r="N122" t="str">
        <f>IF($B$1="","",IF(ISNUMBER(SEARCH($B$1,$A122&amp;" "&amp;$B122)),MAX($N$3:N121)+1,""))</f>
        <v/>
      </c>
    </row>
    <row r="123" spans="1:14" x14ac:dyDescent="0.25">
      <c r="A123" s="21" t="s">
        <v>437</v>
      </c>
      <c r="B123" s="22" t="s">
        <v>438</v>
      </c>
      <c r="C123" s="21"/>
      <c r="N123" t="str">
        <f>IF($B$1="","",IF(ISNUMBER(SEARCH($B$1,$A123&amp;" "&amp;$B123)),MAX($N$3:N122)+1,""))</f>
        <v/>
      </c>
    </row>
    <row r="124" spans="1:14" x14ac:dyDescent="0.25">
      <c r="A124" s="21" t="s">
        <v>439</v>
      </c>
      <c r="B124" s="22" t="s">
        <v>440</v>
      </c>
      <c r="C124" s="21"/>
      <c r="N124" t="str">
        <f>IF($B$1="","",IF(ISNUMBER(SEARCH($B$1,$A124&amp;" "&amp;$B124)),MAX($N$3:N123)+1,""))</f>
        <v/>
      </c>
    </row>
    <row r="125" spans="1:14" x14ac:dyDescent="0.25">
      <c r="A125" s="21" t="s">
        <v>441</v>
      </c>
      <c r="B125" s="22" t="s">
        <v>442</v>
      </c>
      <c r="C125" s="21"/>
      <c r="N125" t="str">
        <f>IF($B$1="","",IF(ISNUMBER(SEARCH($B$1,$A125&amp;" "&amp;$B125)),MAX($N$3:N124)+1,""))</f>
        <v/>
      </c>
    </row>
    <row r="126" spans="1:14" x14ac:dyDescent="0.25">
      <c r="A126" s="21" t="s">
        <v>443</v>
      </c>
      <c r="B126" s="22" t="s">
        <v>444</v>
      </c>
      <c r="C126" s="21"/>
      <c r="N126" t="str">
        <f>IF($B$1="","",IF(ISNUMBER(SEARCH($B$1,$A126&amp;" "&amp;$B126)),MAX($N$3:N125)+1,""))</f>
        <v/>
      </c>
    </row>
    <row r="127" spans="1:14" x14ac:dyDescent="0.25">
      <c r="A127" s="21" t="s">
        <v>445</v>
      </c>
      <c r="B127" s="22" t="s">
        <v>446</v>
      </c>
      <c r="C127" s="21"/>
      <c r="N127" t="str">
        <f>IF($B$1="","",IF(ISNUMBER(SEARCH($B$1,$A127&amp;" "&amp;$B127)),MAX($N$3:N126)+1,""))</f>
        <v/>
      </c>
    </row>
    <row r="128" spans="1:14" x14ac:dyDescent="0.25">
      <c r="A128" s="21" t="s">
        <v>447</v>
      </c>
      <c r="B128" s="22" t="s">
        <v>448</v>
      </c>
      <c r="C128" s="21"/>
      <c r="N128" t="str">
        <f>IF($B$1="","",IF(ISNUMBER(SEARCH($B$1,$A128&amp;" "&amp;$B128)),MAX($N$3:N127)+1,""))</f>
        <v/>
      </c>
    </row>
    <row r="129" spans="1:14" x14ac:dyDescent="0.25">
      <c r="A129" s="21" t="s">
        <v>449</v>
      </c>
      <c r="B129" s="22" t="s">
        <v>450</v>
      </c>
      <c r="C129" s="21"/>
      <c r="N129" t="str">
        <f>IF($B$1="","",IF(ISNUMBER(SEARCH($B$1,$A129&amp;" "&amp;$B129)),MAX($N$3:N128)+1,""))</f>
        <v/>
      </c>
    </row>
    <row r="130" spans="1:14" x14ac:dyDescent="0.25">
      <c r="A130" s="21" t="s">
        <v>451</v>
      </c>
      <c r="B130" s="22" t="s">
        <v>452</v>
      </c>
      <c r="C130" s="21"/>
      <c r="N130" t="str">
        <f>IF($B$1="","",IF(ISNUMBER(SEARCH($B$1,$A130&amp;" "&amp;$B130)),MAX($N$3:N129)+1,""))</f>
        <v/>
      </c>
    </row>
    <row r="131" spans="1:14" x14ac:dyDescent="0.25">
      <c r="A131" s="21" t="s">
        <v>453</v>
      </c>
      <c r="B131" s="22" t="s">
        <v>454</v>
      </c>
      <c r="C131" s="21" t="s">
        <v>455</v>
      </c>
      <c r="N131" t="str">
        <f>IF($B$1="","",IF(ISNUMBER(SEARCH($B$1,$A131&amp;" "&amp;$B131)),MAX($N$3:N130)+1,""))</f>
        <v/>
      </c>
    </row>
    <row r="132" spans="1:14" x14ac:dyDescent="0.25">
      <c r="A132" s="21" t="s">
        <v>456</v>
      </c>
      <c r="B132" s="22" t="s">
        <v>457</v>
      </c>
      <c r="C132" s="21"/>
      <c r="N132" t="str">
        <f>IF($B$1="","",IF(ISNUMBER(SEARCH($B$1,$A132&amp;" "&amp;$B132)),MAX($N$3:N131)+1,""))</f>
        <v/>
      </c>
    </row>
    <row r="133" spans="1:14" x14ac:dyDescent="0.25">
      <c r="A133" s="21" t="s">
        <v>458</v>
      </c>
      <c r="B133" s="22" t="s">
        <v>30</v>
      </c>
      <c r="C133" s="21"/>
      <c r="N133" t="str">
        <f>IF($B$1="","",IF(ISNUMBER(SEARCH($B$1,$A133&amp;" "&amp;$B133)),MAX($N$3:N132)+1,""))</f>
        <v/>
      </c>
    </row>
    <row r="134" spans="1:14" x14ac:dyDescent="0.25">
      <c r="A134" s="21" t="s">
        <v>459</v>
      </c>
      <c r="B134" s="22" t="s">
        <v>460</v>
      </c>
      <c r="C134" s="21"/>
      <c r="N134" t="str">
        <f>IF($B$1="","",IF(ISNUMBER(SEARCH($B$1,$A134&amp;" "&amp;$B134)),MAX($N$3:N133)+1,""))</f>
        <v/>
      </c>
    </row>
    <row r="135" spans="1:14" x14ac:dyDescent="0.25">
      <c r="A135" s="21" t="s">
        <v>461</v>
      </c>
      <c r="B135" s="22" t="s">
        <v>462</v>
      </c>
      <c r="C135" s="21"/>
      <c r="N135" t="str">
        <f>IF($B$1="","",IF(ISNUMBER(SEARCH($B$1,$A135&amp;" "&amp;$B135)),MAX($N$3:N134)+1,""))</f>
        <v/>
      </c>
    </row>
    <row r="136" spans="1:14" x14ac:dyDescent="0.25">
      <c r="A136" s="21" t="s">
        <v>463</v>
      </c>
      <c r="B136" s="22" t="s">
        <v>464</v>
      </c>
      <c r="C136" s="21"/>
      <c r="N136" t="str">
        <f>IF($B$1="","",IF(ISNUMBER(SEARCH($B$1,$A136&amp;" "&amp;$B136)),MAX($N$3:N135)+1,""))</f>
        <v/>
      </c>
    </row>
    <row r="137" spans="1:14" x14ac:dyDescent="0.25">
      <c r="A137" s="21" t="s">
        <v>465</v>
      </c>
      <c r="B137" s="22" t="s">
        <v>466</v>
      </c>
      <c r="C137" s="21"/>
      <c r="N137" t="str">
        <f>IF($B$1="","",IF(ISNUMBER(SEARCH($B$1,$A137&amp;" "&amp;$B137)),MAX($N$3:N136)+1,""))</f>
        <v/>
      </c>
    </row>
    <row r="138" spans="1:14" x14ac:dyDescent="0.25">
      <c r="A138" s="21" t="s">
        <v>467</v>
      </c>
      <c r="B138" s="22" t="s">
        <v>468</v>
      </c>
      <c r="C138" s="21"/>
      <c r="N138" t="str">
        <f>IF($B$1="","",IF(ISNUMBER(SEARCH($B$1,$A138&amp;" "&amp;$B138)),MAX($N$3:N137)+1,""))</f>
        <v/>
      </c>
    </row>
    <row r="139" spans="1:14" x14ac:dyDescent="0.25">
      <c r="A139" s="21" t="s">
        <v>469</v>
      </c>
      <c r="B139" s="22" t="s">
        <v>470</v>
      </c>
      <c r="C139" s="21"/>
      <c r="N139" t="str">
        <f>IF($B$1="","",IF(ISNUMBER(SEARCH($B$1,$A139&amp;" "&amp;$B139)),MAX($N$3:N138)+1,""))</f>
        <v/>
      </c>
    </row>
    <row r="140" spans="1:14" x14ac:dyDescent="0.25">
      <c r="A140" s="21" t="s">
        <v>471</v>
      </c>
      <c r="B140" s="22" t="s">
        <v>472</v>
      </c>
      <c r="C140" s="21"/>
      <c r="N140" t="str">
        <f>IF($B$1="","",IF(ISNUMBER(SEARCH($B$1,$A140&amp;" "&amp;$B140)),MAX($N$3:N139)+1,""))</f>
        <v/>
      </c>
    </row>
    <row r="141" spans="1:14" x14ac:dyDescent="0.25">
      <c r="A141" s="21" t="s">
        <v>473</v>
      </c>
      <c r="B141" s="22" t="s">
        <v>474</v>
      </c>
      <c r="C141" s="21"/>
      <c r="N141" t="str">
        <f>IF($B$1="","",IF(ISNUMBER(SEARCH($B$1,$A141&amp;" "&amp;$B141)),MAX($N$3:N140)+1,""))</f>
        <v/>
      </c>
    </row>
    <row r="142" spans="1:14" x14ac:dyDescent="0.25">
      <c r="A142" s="21" t="s">
        <v>475</v>
      </c>
      <c r="B142" s="22" t="s">
        <v>476</v>
      </c>
      <c r="C142" s="21"/>
      <c r="N142" t="str">
        <f>IF($B$1="","",IF(ISNUMBER(SEARCH($B$1,$A142&amp;" "&amp;$B142)),MAX($N$3:N141)+1,""))</f>
        <v/>
      </c>
    </row>
    <row r="143" spans="1:14" x14ac:dyDescent="0.25">
      <c r="A143" s="21" t="s">
        <v>477</v>
      </c>
      <c r="B143" s="22" t="s">
        <v>478</v>
      </c>
      <c r="C143" s="21"/>
      <c r="N143" t="str">
        <f>IF($B$1="","",IF(ISNUMBER(SEARCH($B$1,$A143&amp;" "&amp;$B143)),MAX($N$3:N142)+1,""))</f>
        <v/>
      </c>
    </row>
    <row r="144" spans="1:14" x14ac:dyDescent="0.25">
      <c r="A144" s="21" t="s">
        <v>479</v>
      </c>
      <c r="B144" s="22" t="s">
        <v>480</v>
      </c>
      <c r="C144" s="21"/>
      <c r="N144" t="str">
        <f>IF($B$1="","",IF(ISNUMBER(SEARCH($B$1,$A144&amp;" "&amp;$B144)),MAX($N$3:N143)+1,""))</f>
        <v/>
      </c>
    </row>
    <row r="145" spans="1:14" x14ac:dyDescent="0.25">
      <c r="A145" s="21" t="s">
        <v>481</v>
      </c>
      <c r="B145" s="22" t="s">
        <v>482</v>
      </c>
      <c r="C145" s="21"/>
      <c r="N145" t="str">
        <f>IF($B$1="","",IF(ISNUMBER(SEARCH($B$1,$A145&amp;" "&amp;$B145)),MAX($N$3:N144)+1,""))</f>
        <v/>
      </c>
    </row>
    <row r="146" spans="1:14" x14ac:dyDescent="0.25">
      <c r="A146" s="21" t="s">
        <v>483</v>
      </c>
      <c r="B146" s="22" t="s">
        <v>484</v>
      </c>
      <c r="C146" s="21"/>
      <c r="N146" t="str">
        <f>IF($B$1="","",IF(ISNUMBER(SEARCH($B$1,$A146&amp;" "&amp;$B146)),MAX($N$3:N145)+1,""))</f>
        <v/>
      </c>
    </row>
    <row r="147" spans="1:14" x14ac:dyDescent="0.25">
      <c r="A147" s="21" t="s">
        <v>485</v>
      </c>
      <c r="B147" s="22" t="s">
        <v>486</v>
      </c>
      <c r="C147" s="21"/>
      <c r="N147" t="str">
        <f>IF($B$1="","",IF(ISNUMBER(SEARCH($B$1,$A147&amp;" "&amp;$B147)),MAX($N$3:N146)+1,""))</f>
        <v/>
      </c>
    </row>
    <row r="148" spans="1:14" x14ac:dyDescent="0.25">
      <c r="A148" s="21" t="s">
        <v>487</v>
      </c>
      <c r="B148" s="22" t="s">
        <v>488</v>
      </c>
      <c r="C148" s="21"/>
      <c r="N148" t="str">
        <f>IF($B$1="","",IF(ISNUMBER(SEARCH($B$1,$A148&amp;" "&amp;$B148)),MAX($N$3:N147)+1,""))</f>
        <v/>
      </c>
    </row>
    <row r="149" spans="1:14" x14ac:dyDescent="0.25">
      <c r="A149" s="21" t="s">
        <v>489</v>
      </c>
      <c r="B149" s="22" t="s">
        <v>490</v>
      </c>
      <c r="C149" s="21"/>
      <c r="N149" t="str">
        <f>IF($B$1="","",IF(ISNUMBER(SEARCH($B$1,$A149&amp;" "&amp;$B149)),MAX($N$3:N148)+1,""))</f>
        <v/>
      </c>
    </row>
    <row r="150" spans="1:14" x14ac:dyDescent="0.25">
      <c r="A150" s="21" t="s">
        <v>491</v>
      </c>
      <c r="B150" s="22" t="s">
        <v>492</v>
      </c>
      <c r="C150" s="21"/>
      <c r="N150" t="str">
        <f>IF($B$1="","",IF(ISNUMBER(SEARCH($B$1,$A150&amp;" "&amp;$B150)),MAX($N$3:N149)+1,""))</f>
        <v/>
      </c>
    </row>
    <row r="151" spans="1:14" x14ac:dyDescent="0.25">
      <c r="A151" s="21" t="s">
        <v>493</v>
      </c>
      <c r="B151" s="22" t="s">
        <v>494</v>
      </c>
      <c r="C151" s="21"/>
      <c r="N151" t="str">
        <f>IF($B$1="","",IF(ISNUMBER(SEARCH($B$1,$A151&amp;" "&amp;$B151)),MAX($N$3:N150)+1,""))</f>
        <v/>
      </c>
    </row>
    <row r="152" spans="1:14" x14ac:dyDescent="0.25">
      <c r="A152" s="21" t="s">
        <v>495</v>
      </c>
      <c r="B152" s="22" t="s">
        <v>496</v>
      </c>
      <c r="C152" s="21"/>
      <c r="N152" t="str">
        <f>IF($B$1="","",IF(ISNUMBER(SEARCH($B$1,$A152&amp;" "&amp;$B152)),MAX($N$3:N151)+1,""))</f>
        <v/>
      </c>
    </row>
    <row r="153" spans="1:14" x14ac:dyDescent="0.25">
      <c r="A153" s="21" t="s">
        <v>497</v>
      </c>
      <c r="B153" s="22" t="s">
        <v>498</v>
      </c>
      <c r="C153" s="21"/>
      <c r="N153" t="str">
        <f>IF($B$1="","",IF(ISNUMBER(SEARCH($B$1,$A153&amp;" "&amp;$B153)),MAX($N$3:N152)+1,""))</f>
        <v/>
      </c>
    </row>
    <row r="154" spans="1:14" x14ac:dyDescent="0.25">
      <c r="A154" s="21" t="s">
        <v>499</v>
      </c>
      <c r="B154" s="22" t="s">
        <v>500</v>
      </c>
      <c r="C154" s="21"/>
      <c r="N154" t="str">
        <f>IF($B$1="","",IF(ISNUMBER(SEARCH($B$1,$A154&amp;" "&amp;$B154)),MAX($N$3:N153)+1,""))</f>
        <v/>
      </c>
    </row>
    <row r="155" spans="1:14" x14ac:dyDescent="0.25">
      <c r="A155" s="21" t="s">
        <v>501</v>
      </c>
      <c r="B155" s="22" t="s">
        <v>502</v>
      </c>
      <c r="C155" s="21"/>
      <c r="N155" t="str">
        <f>IF($B$1="","",IF(ISNUMBER(SEARCH($B$1,$A155&amp;" "&amp;$B155)),MAX($N$3:N154)+1,""))</f>
        <v/>
      </c>
    </row>
    <row r="156" spans="1:14" x14ac:dyDescent="0.25">
      <c r="A156" s="21" t="s">
        <v>503</v>
      </c>
      <c r="B156" s="22" t="s">
        <v>504</v>
      </c>
      <c r="C156" s="21"/>
      <c r="N156" t="str">
        <f>IF($B$1="","",IF(ISNUMBER(SEARCH($B$1,$A156&amp;" "&amp;$B156)),MAX($N$3:N155)+1,""))</f>
        <v/>
      </c>
    </row>
    <row r="157" spans="1:14" x14ac:dyDescent="0.25">
      <c r="A157" s="21" t="s">
        <v>505</v>
      </c>
      <c r="B157" s="22" t="s">
        <v>506</v>
      </c>
      <c r="C157" s="21"/>
      <c r="N157" t="str">
        <f>IF($B$1="","",IF(ISNUMBER(SEARCH($B$1,$A157&amp;" "&amp;$B157)),MAX($N$3:N156)+1,""))</f>
        <v/>
      </c>
    </row>
    <row r="158" spans="1:14" x14ac:dyDescent="0.25">
      <c r="A158" s="21" t="s">
        <v>507</v>
      </c>
      <c r="B158" s="22" t="s">
        <v>508</v>
      </c>
      <c r="C158" s="21"/>
      <c r="N158" t="str">
        <f>IF($B$1="","",IF(ISNUMBER(SEARCH($B$1,$A158&amp;" "&amp;$B158)),MAX($N$3:N157)+1,""))</f>
        <v/>
      </c>
    </row>
    <row r="159" spans="1:14" x14ac:dyDescent="0.25">
      <c r="A159" s="21" t="s">
        <v>509</v>
      </c>
      <c r="B159" s="22" t="s">
        <v>510</v>
      </c>
      <c r="C159" s="21"/>
      <c r="N159" t="str">
        <f>IF($B$1="","",IF(ISNUMBER(SEARCH($B$1,$A159&amp;" "&amp;$B159)),MAX($N$3:N158)+1,""))</f>
        <v/>
      </c>
    </row>
    <row r="160" spans="1:14" x14ac:dyDescent="0.25">
      <c r="A160" s="21" t="s">
        <v>511</v>
      </c>
      <c r="B160" s="22" t="s">
        <v>512</v>
      </c>
      <c r="C160" s="21"/>
      <c r="N160" t="str">
        <f>IF($B$1="","",IF(ISNUMBER(SEARCH($B$1,$A160&amp;" "&amp;$B160)),MAX($N$3:N159)+1,""))</f>
        <v/>
      </c>
    </row>
    <row r="161" spans="1:14" x14ac:dyDescent="0.25">
      <c r="A161" s="21" t="s">
        <v>513</v>
      </c>
      <c r="B161" s="22" t="s">
        <v>514</v>
      </c>
      <c r="C161" s="21"/>
      <c r="N161" t="str">
        <f>IF($B$1="","",IF(ISNUMBER(SEARCH($B$1,$A161&amp;" "&amp;$B161)),MAX($N$3:N160)+1,""))</f>
        <v/>
      </c>
    </row>
    <row r="162" spans="1:14" x14ac:dyDescent="0.25">
      <c r="A162" s="21" t="s">
        <v>515</v>
      </c>
      <c r="B162" s="22" t="s">
        <v>516</v>
      </c>
      <c r="C162" s="21"/>
      <c r="N162" t="str">
        <f>IF($B$1="","",IF(ISNUMBER(SEARCH($B$1,$A162&amp;" "&amp;$B162)),MAX($N$3:N161)+1,""))</f>
        <v/>
      </c>
    </row>
    <row r="163" spans="1:14" x14ac:dyDescent="0.25">
      <c r="A163" s="21" t="s">
        <v>517</v>
      </c>
      <c r="B163" s="22" t="s">
        <v>518</v>
      </c>
      <c r="C163" s="21"/>
      <c r="N163" t="str">
        <f>IF($B$1="","",IF(ISNUMBER(SEARCH($B$1,$A163&amp;" "&amp;$B163)),MAX($N$3:N162)+1,""))</f>
        <v/>
      </c>
    </row>
    <row r="164" spans="1:14" x14ac:dyDescent="0.25">
      <c r="A164" s="21" t="s">
        <v>519</v>
      </c>
      <c r="B164" s="22" t="s">
        <v>520</v>
      </c>
      <c r="C164" s="21"/>
      <c r="N164" t="str">
        <f>IF($B$1="","",IF(ISNUMBER(SEARCH($B$1,$A164&amp;" "&amp;$B164)),MAX($N$3:N163)+1,""))</f>
        <v/>
      </c>
    </row>
    <row r="165" spans="1:14" x14ac:dyDescent="0.25">
      <c r="A165" s="21" t="s">
        <v>521</v>
      </c>
      <c r="B165" s="22" t="s">
        <v>522</v>
      </c>
      <c r="C165" s="21"/>
      <c r="N165" t="str">
        <f>IF($B$1="","",IF(ISNUMBER(SEARCH($B$1,$A165&amp;" "&amp;$B165)),MAX($N$3:N164)+1,""))</f>
        <v/>
      </c>
    </row>
    <row r="166" spans="1:14" x14ac:dyDescent="0.25">
      <c r="A166" s="21" t="s">
        <v>523</v>
      </c>
      <c r="B166" s="22" t="s">
        <v>524</v>
      </c>
      <c r="C166" s="21"/>
      <c r="N166" t="str">
        <f>IF($B$1="","",IF(ISNUMBER(SEARCH($B$1,$A166&amp;" "&amp;$B166)),MAX($N$3:N165)+1,""))</f>
        <v/>
      </c>
    </row>
    <row r="167" spans="1:14" x14ac:dyDescent="0.25">
      <c r="A167" s="21" t="s">
        <v>525</v>
      </c>
      <c r="B167" s="22" t="s">
        <v>526</v>
      </c>
      <c r="C167" s="21"/>
      <c r="N167" t="str">
        <f>IF($B$1="","",IF(ISNUMBER(SEARCH($B$1,$A167&amp;" "&amp;$B167)),MAX($N$3:N166)+1,""))</f>
        <v/>
      </c>
    </row>
    <row r="168" spans="1:14" x14ac:dyDescent="0.25">
      <c r="A168" s="21" t="s">
        <v>527</v>
      </c>
      <c r="B168" s="22" t="s">
        <v>528</v>
      </c>
      <c r="C168" s="21"/>
      <c r="N168" t="str">
        <f>IF($B$1="","",IF(ISNUMBER(SEARCH($B$1,$A168&amp;" "&amp;$B168)),MAX($N$3:N167)+1,""))</f>
        <v/>
      </c>
    </row>
    <row r="169" spans="1:14" x14ac:dyDescent="0.25">
      <c r="A169" s="21" t="s">
        <v>529</v>
      </c>
      <c r="B169" s="22" t="s">
        <v>530</v>
      </c>
      <c r="C169" s="21"/>
      <c r="N169" t="str">
        <f>IF($B$1="","",IF(ISNUMBER(SEARCH($B$1,$A169&amp;" "&amp;$B169)),MAX($N$3:N168)+1,""))</f>
        <v/>
      </c>
    </row>
    <row r="170" spans="1:14" x14ac:dyDescent="0.25">
      <c r="A170" s="21" t="s">
        <v>531</v>
      </c>
      <c r="B170" s="22" t="s">
        <v>532</v>
      </c>
      <c r="C170" s="21"/>
      <c r="N170" t="str">
        <f>IF($B$1="","",IF(ISNUMBER(SEARCH($B$1,$A170&amp;" "&amp;$B170)),MAX($N$3:N169)+1,""))</f>
        <v/>
      </c>
    </row>
    <row r="171" spans="1:14" x14ac:dyDescent="0.25">
      <c r="A171" s="21" t="s">
        <v>533</v>
      </c>
      <c r="B171" s="22" t="s">
        <v>534</v>
      </c>
      <c r="C171" s="21"/>
      <c r="N171" t="str">
        <f>IF($B$1="","",IF(ISNUMBER(SEARCH($B$1,$A171&amp;" "&amp;$B171)),MAX($N$3:N170)+1,""))</f>
        <v/>
      </c>
    </row>
    <row r="172" spans="1:14" x14ac:dyDescent="0.25">
      <c r="A172" s="21" t="s">
        <v>535</v>
      </c>
      <c r="B172" s="22" t="s">
        <v>536</v>
      </c>
      <c r="C172" s="21"/>
      <c r="N172" t="str">
        <f>IF($B$1="","",IF(ISNUMBER(SEARCH($B$1,$A172&amp;" "&amp;$B172)),MAX($N$3:N171)+1,""))</f>
        <v/>
      </c>
    </row>
    <row r="173" spans="1:14" x14ac:dyDescent="0.25">
      <c r="A173" s="21" t="s">
        <v>537</v>
      </c>
      <c r="B173" s="22" t="s">
        <v>538</v>
      </c>
      <c r="C173" s="21"/>
      <c r="N173" t="str">
        <f>IF($B$1="","",IF(ISNUMBER(SEARCH($B$1,$A173&amp;" "&amp;$B173)),MAX($N$3:N172)+1,""))</f>
        <v/>
      </c>
    </row>
    <row r="174" spans="1:14" x14ac:dyDescent="0.25">
      <c r="A174" s="21" t="s">
        <v>539</v>
      </c>
      <c r="B174" s="22" t="s">
        <v>540</v>
      </c>
      <c r="C174" s="21"/>
      <c r="N174" t="str">
        <f>IF($B$1="","",IF(ISNUMBER(SEARCH($B$1,$A174&amp;" "&amp;$B174)),MAX($N$3:N173)+1,""))</f>
        <v/>
      </c>
    </row>
    <row r="175" spans="1:14" x14ac:dyDescent="0.25">
      <c r="A175" s="21" t="s">
        <v>541</v>
      </c>
      <c r="B175" s="22" t="s">
        <v>542</v>
      </c>
      <c r="C175" s="21"/>
      <c r="N175" t="str">
        <f>IF($B$1="","",IF(ISNUMBER(SEARCH($B$1,$A175&amp;" "&amp;$B175)),MAX($N$3:N174)+1,""))</f>
        <v/>
      </c>
    </row>
    <row r="176" spans="1:14" x14ac:dyDescent="0.25">
      <c r="A176" s="21" t="s">
        <v>543</v>
      </c>
      <c r="B176" s="22" t="s">
        <v>544</v>
      </c>
      <c r="C176" s="21"/>
      <c r="N176" t="str">
        <f>IF($B$1="","",IF(ISNUMBER(SEARCH($B$1,$A176&amp;" "&amp;$B176)),MAX($N$3:N175)+1,""))</f>
        <v/>
      </c>
    </row>
    <row r="177" spans="1:14" x14ac:dyDescent="0.25">
      <c r="A177" s="21" t="s">
        <v>545</v>
      </c>
      <c r="B177" s="22" t="s">
        <v>546</v>
      </c>
      <c r="C177" s="21"/>
      <c r="N177" t="str">
        <f>IF($B$1="","",IF(ISNUMBER(SEARCH($B$1,$A177&amp;" "&amp;$B177)),MAX($N$3:N176)+1,""))</f>
        <v/>
      </c>
    </row>
    <row r="178" spans="1:14" x14ac:dyDescent="0.25">
      <c r="A178" s="21" t="s">
        <v>547</v>
      </c>
      <c r="B178" s="22" t="s">
        <v>548</v>
      </c>
      <c r="C178" s="21"/>
      <c r="N178" t="str">
        <f>IF($B$1="","",IF(ISNUMBER(SEARCH($B$1,$A178&amp;" "&amp;$B178)),MAX($N$3:N177)+1,""))</f>
        <v/>
      </c>
    </row>
    <row r="179" spans="1:14" x14ac:dyDescent="0.25">
      <c r="A179" s="21" t="s">
        <v>549</v>
      </c>
      <c r="B179" s="22" t="s">
        <v>550</v>
      </c>
      <c r="C179" s="21"/>
      <c r="N179" t="str">
        <f>IF($B$1="","",IF(ISNUMBER(SEARCH($B$1,$A179&amp;" "&amp;$B179)),MAX($N$3:N178)+1,""))</f>
        <v/>
      </c>
    </row>
    <row r="180" spans="1:14" x14ac:dyDescent="0.25">
      <c r="A180" s="21" t="s">
        <v>551</v>
      </c>
      <c r="B180" s="22" t="s">
        <v>552</v>
      </c>
      <c r="C180" s="21"/>
      <c r="N180" t="str">
        <f>IF($B$1="","",IF(ISNUMBER(SEARCH($B$1,$A180&amp;" "&amp;$B180)),MAX($N$3:N179)+1,""))</f>
        <v/>
      </c>
    </row>
    <row r="181" spans="1:14" x14ac:dyDescent="0.25">
      <c r="A181" s="21" t="s">
        <v>553</v>
      </c>
      <c r="B181" s="22" t="s">
        <v>554</v>
      </c>
      <c r="C181" s="21"/>
      <c r="N181" t="str">
        <f>IF($B$1="","",IF(ISNUMBER(SEARCH($B$1,$A181&amp;" "&amp;$B181)),MAX($N$3:N180)+1,""))</f>
        <v/>
      </c>
    </row>
    <row r="182" spans="1:14" x14ac:dyDescent="0.25">
      <c r="A182" s="21" t="s">
        <v>555</v>
      </c>
      <c r="B182" s="22" t="s">
        <v>556</v>
      </c>
      <c r="C182" s="21"/>
      <c r="N182" t="str">
        <f>IF($B$1="","",IF(ISNUMBER(SEARCH($B$1,$A182&amp;" "&amp;$B182)),MAX($N$3:N181)+1,""))</f>
        <v/>
      </c>
    </row>
    <row r="183" spans="1:14" x14ac:dyDescent="0.25">
      <c r="A183" s="21" t="s">
        <v>557</v>
      </c>
      <c r="B183" s="22" t="s">
        <v>558</v>
      </c>
      <c r="C183" s="21"/>
      <c r="N183" t="str">
        <f>IF($B$1="","",IF(ISNUMBER(SEARCH($B$1,$A183&amp;" "&amp;$B183)),MAX($N$3:N182)+1,""))</f>
        <v/>
      </c>
    </row>
    <row r="184" spans="1:14" x14ac:dyDescent="0.25">
      <c r="A184" s="21" t="s">
        <v>559</v>
      </c>
      <c r="B184" s="22" t="s">
        <v>560</v>
      </c>
      <c r="C184" s="21"/>
      <c r="N184" t="str">
        <f>IF($B$1="","",IF(ISNUMBER(SEARCH($B$1,$A184&amp;" "&amp;$B184)),MAX($N$3:N183)+1,""))</f>
        <v/>
      </c>
    </row>
    <row r="185" spans="1:14" x14ac:dyDescent="0.25">
      <c r="A185" s="21" t="s">
        <v>561</v>
      </c>
      <c r="B185" s="22" t="s">
        <v>562</v>
      </c>
      <c r="C185" s="21"/>
      <c r="N185" t="str">
        <f>IF($B$1="","",IF(ISNUMBER(SEARCH($B$1,$A185&amp;" "&amp;$B185)),MAX($N$3:N184)+1,""))</f>
        <v/>
      </c>
    </row>
    <row r="186" spans="1:14" x14ac:dyDescent="0.25">
      <c r="A186" s="21" t="s">
        <v>563</v>
      </c>
      <c r="B186" s="22" t="s">
        <v>564</v>
      </c>
      <c r="C186" s="21"/>
      <c r="N186" t="str">
        <f>IF($B$1="","",IF(ISNUMBER(SEARCH($B$1,$A186&amp;" "&amp;$B186)),MAX($N$3:N185)+1,""))</f>
        <v/>
      </c>
    </row>
    <row r="187" spans="1:14" x14ac:dyDescent="0.25">
      <c r="A187" s="21" t="s">
        <v>565</v>
      </c>
      <c r="B187" s="22" t="s">
        <v>51</v>
      </c>
      <c r="C187" s="21"/>
      <c r="N187" t="str">
        <f>IF($B$1="","",IF(ISNUMBER(SEARCH($B$1,$A187&amp;" "&amp;$B187)),MAX($N$3:N186)+1,""))</f>
        <v/>
      </c>
    </row>
    <row r="188" spans="1:14" x14ac:dyDescent="0.25">
      <c r="A188" s="21" t="s">
        <v>566</v>
      </c>
      <c r="B188" s="22" t="s">
        <v>567</v>
      </c>
      <c r="C188" s="21"/>
      <c r="N188" t="str">
        <f>IF($B$1="","",IF(ISNUMBER(SEARCH($B$1,$A188&amp;" "&amp;$B188)),MAX($N$3:N187)+1,""))</f>
        <v/>
      </c>
    </row>
    <row r="189" spans="1:14" x14ac:dyDescent="0.25">
      <c r="A189" s="21" t="s">
        <v>568</v>
      </c>
      <c r="B189" s="22" t="s">
        <v>569</v>
      </c>
      <c r="C189" s="21"/>
      <c r="N189" t="str">
        <f>IF($B$1="","",IF(ISNUMBER(SEARCH($B$1,$A189&amp;" "&amp;$B189)),MAX($N$3:N188)+1,""))</f>
        <v/>
      </c>
    </row>
    <row r="190" spans="1:14" x14ac:dyDescent="0.25">
      <c r="A190" s="21" t="s">
        <v>570</v>
      </c>
      <c r="B190" s="22" t="s">
        <v>571</v>
      </c>
      <c r="C190" s="21"/>
      <c r="N190" t="str">
        <f>IF($B$1="","",IF(ISNUMBER(SEARCH($B$1,$A190&amp;" "&amp;$B190)),MAX($N$3:N189)+1,""))</f>
        <v/>
      </c>
    </row>
    <row r="191" spans="1:14" x14ac:dyDescent="0.25">
      <c r="A191" s="21" t="s">
        <v>572</v>
      </c>
      <c r="B191" s="22" t="s">
        <v>573</v>
      </c>
      <c r="C191" s="21"/>
      <c r="N191" t="str">
        <f>IF($B$1="","",IF(ISNUMBER(SEARCH($B$1,$A191&amp;" "&amp;$B191)),MAX($N$3:N190)+1,""))</f>
        <v/>
      </c>
    </row>
    <row r="192" spans="1:14" x14ac:dyDescent="0.25">
      <c r="A192" s="21" t="s">
        <v>574</v>
      </c>
      <c r="B192" s="22" t="s">
        <v>575</v>
      </c>
      <c r="C192" s="21"/>
      <c r="N192" t="str">
        <f>IF($B$1="","",IF(ISNUMBER(SEARCH($B$1,$A192&amp;" "&amp;$B192)),MAX($N$3:N191)+1,""))</f>
        <v/>
      </c>
    </row>
    <row r="193" spans="1:14" x14ac:dyDescent="0.25">
      <c r="A193" s="21" t="s">
        <v>576</v>
      </c>
      <c r="B193" s="22" t="s">
        <v>577</v>
      </c>
      <c r="C193" s="21"/>
      <c r="N193" t="str">
        <f>IF($B$1="","",IF(ISNUMBER(SEARCH($B$1,$A193&amp;" "&amp;$B193)),MAX($N$3:N192)+1,""))</f>
        <v/>
      </c>
    </row>
    <row r="194" spans="1:14" x14ac:dyDescent="0.25">
      <c r="A194" s="21" t="s">
        <v>578</v>
      </c>
      <c r="B194" s="22" t="s">
        <v>579</v>
      </c>
      <c r="C194" s="21"/>
      <c r="N194" t="str">
        <f>IF($B$1="","",IF(ISNUMBER(SEARCH($B$1,$A194&amp;" "&amp;$B194)),MAX($N$3:N193)+1,""))</f>
        <v/>
      </c>
    </row>
    <row r="195" spans="1:14" x14ac:dyDescent="0.25">
      <c r="A195" s="21" t="s">
        <v>580</v>
      </c>
      <c r="B195" s="22" t="s">
        <v>581</v>
      </c>
      <c r="C195" s="21"/>
      <c r="N195" t="str">
        <f>IF($B$1="","",IF(ISNUMBER(SEARCH($B$1,$A195&amp;" "&amp;$B195)),MAX($N$3:N194)+1,""))</f>
        <v/>
      </c>
    </row>
    <row r="196" spans="1:14" x14ac:dyDescent="0.25">
      <c r="A196" s="21" t="s">
        <v>582</v>
      </c>
      <c r="B196" s="22" t="s">
        <v>583</v>
      </c>
      <c r="C196" s="21"/>
      <c r="N196" t="str">
        <f>IF($B$1="","",IF(ISNUMBER(SEARCH($B$1,$A196&amp;" "&amp;$B196)),MAX($N$3:N195)+1,""))</f>
        <v/>
      </c>
    </row>
    <row r="197" spans="1:14" x14ac:dyDescent="0.25">
      <c r="A197" s="21" t="s">
        <v>584</v>
      </c>
      <c r="B197" s="22" t="s">
        <v>585</v>
      </c>
      <c r="C197" s="21"/>
      <c r="N197" t="str">
        <f>IF($B$1="","",IF(ISNUMBER(SEARCH($B$1,$A197&amp;" "&amp;$B197)),MAX($N$3:N196)+1,""))</f>
        <v/>
      </c>
    </row>
    <row r="198" spans="1:14" x14ac:dyDescent="0.25">
      <c r="A198" s="21" t="s">
        <v>586</v>
      </c>
      <c r="B198" s="22" t="s">
        <v>587</v>
      </c>
      <c r="C198" s="21"/>
      <c r="N198" t="str">
        <f>IF($B$1="","",IF(ISNUMBER(SEARCH($B$1,$A198&amp;" "&amp;$B198)),MAX($N$3:N197)+1,""))</f>
        <v/>
      </c>
    </row>
    <row r="199" spans="1:14" x14ac:dyDescent="0.25">
      <c r="A199" s="21" t="s">
        <v>588</v>
      </c>
      <c r="B199" s="22" t="s">
        <v>589</v>
      </c>
      <c r="C199" s="21"/>
      <c r="N199" t="str">
        <f>IF($B$1="","",IF(ISNUMBER(SEARCH($B$1,$A199&amp;" "&amp;$B199)),MAX($N$3:N198)+1,""))</f>
        <v/>
      </c>
    </row>
    <row r="200" spans="1:14" x14ac:dyDescent="0.25">
      <c r="A200" s="21" t="s">
        <v>590</v>
      </c>
      <c r="B200" s="22" t="s">
        <v>591</v>
      </c>
      <c r="C200" s="21"/>
      <c r="N200" t="str">
        <f>IF($B$1="","",IF(ISNUMBER(SEARCH($B$1,$A200&amp;" "&amp;$B200)),MAX($N$3:N199)+1,""))</f>
        <v/>
      </c>
    </row>
    <row r="201" spans="1:14" x14ac:dyDescent="0.25">
      <c r="A201" s="21" t="s">
        <v>592</v>
      </c>
      <c r="B201" s="22" t="s">
        <v>593</v>
      </c>
      <c r="C201" s="21"/>
      <c r="N201" t="str">
        <f>IF($B$1="","",IF(ISNUMBER(SEARCH($B$1,$A201&amp;" "&amp;$B201)),MAX($N$3:N200)+1,""))</f>
        <v/>
      </c>
    </row>
    <row r="202" spans="1:14" x14ac:dyDescent="0.25">
      <c r="A202" s="21" t="s">
        <v>594</v>
      </c>
      <c r="B202" s="22" t="s">
        <v>52</v>
      </c>
      <c r="C202" s="21"/>
      <c r="N202" t="str">
        <f>IF($B$1="","",IF(ISNUMBER(SEARCH($B$1,$A202&amp;" "&amp;$B202)),MAX($N$3:N201)+1,""))</f>
        <v/>
      </c>
    </row>
    <row r="203" spans="1:14" x14ac:dyDescent="0.25">
      <c r="A203" s="21" t="s">
        <v>595</v>
      </c>
      <c r="B203" s="22" t="s">
        <v>596</v>
      </c>
      <c r="C203" s="21"/>
      <c r="N203" t="str">
        <f>IF($B$1="","",IF(ISNUMBER(SEARCH($B$1,$A203&amp;" "&amp;$B203)),MAX($N$3:N202)+1,""))</f>
        <v/>
      </c>
    </row>
    <row r="204" spans="1:14" x14ac:dyDescent="0.25">
      <c r="A204" s="21" t="s">
        <v>597</v>
      </c>
      <c r="B204" s="22" t="s">
        <v>598</v>
      </c>
      <c r="C204" s="21"/>
      <c r="N204" t="str">
        <f>IF($B$1="","",IF(ISNUMBER(SEARCH($B$1,$A204&amp;" "&amp;$B204)),MAX($N$3:N203)+1,""))</f>
        <v/>
      </c>
    </row>
    <row r="205" spans="1:14" x14ac:dyDescent="0.25">
      <c r="A205" s="21" t="s">
        <v>599</v>
      </c>
      <c r="B205" s="22" t="s">
        <v>600</v>
      </c>
      <c r="C205" s="21"/>
      <c r="N205" t="str">
        <f>IF($B$1="","",IF(ISNUMBER(SEARCH($B$1,$A205&amp;" "&amp;$B205)),MAX($N$3:N204)+1,""))</f>
        <v/>
      </c>
    </row>
    <row r="206" spans="1:14" x14ac:dyDescent="0.25">
      <c r="A206" s="21" t="s">
        <v>601</v>
      </c>
      <c r="B206" s="22" t="s">
        <v>602</v>
      </c>
      <c r="C206" s="21"/>
      <c r="N206" t="str">
        <f>IF($B$1="","",IF(ISNUMBER(SEARCH($B$1,$A206&amp;" "&amp;$B206)),MAX($N$3:N205)+1,""))</f>
        <v/>
      </c>
    </row>
    <row r="207" spans="1:14" x14ac:dyDescent="0.25">
      <c r="A207" s="21" t="s">
        <v>603</v>
      </c>
      <c r="B207" s="22" t="s">
        <v>604</v>
      </c>
      <c r="C207" s="21"/>
      <c r="N207" t="str">
        <f>IF($B$1="","",IF(ISNUMBER(SEARCH($B$1,$A207&amp;" "&amp;$B207)),MAX($N$3:N206)+1,""))</f>
        <v/>
      </c>
    </row>
    <row r="208" spans="1:14" x14ac:dyDescent="0.25">
      <c r="A208" s="21" t="s">
        <v>605</v>
      </c>
      <c r="B208" s="22" t="s">
        <v>606</v>
      </c>
      <c r="C208" s="21"/>
      <c r="N208" t="str">
        <f>IF($B$1="","",IF(ISNUMBER(SEARCH($B$1,$A208&amp;" "&amp;$B208)),MAX($N$3:N207)+1,""))</f>
        <v/>
      </c>
    </row>
    <row r="209" spans="1:14" x14ac:dyDescent="0.25">
      <c r="A209" s="21" t="s">
        <v>607</v>
      </c>
      <c r="B209" s="22" t="s">
        <v>608</v>
      </c>
      <c r="C209" s="21"/>
      <c r="N209" t="str">
        <f>IF($B$1="","",IF(ISNUMBER(SEARCH($B$1,$A209&amp;" "&amp;$B209)),MAX($N$3:N208)+1,""))</f>
        <v/>
      </c>
    </row>
    <row r="210" spans="1:14" x14ac:dyDescent="0.25">
      <c r="A210" s="21" t="s">
        <v>609</v>
      </c>
      <c r="B210" s="22" t="s">
        <v>610</v>
      </c>
      <c r="C210" s="21"/>
      <c r="N210" t="str">
        <f>IF($B$1="","",IF(ISNUMBER(SEARCH($B$1,$A210&amp;" "&amp;$B210)),MAX($N$3:N209)+1,""))</f>
        <v/>
      </c>
    </row>
    <row r="211" spans="1:14" x14ac:dyDescent="0.25">
      <c r="A211" s="21" t="s">
        <v>611</v>
      </c>
      <c r="B211" s="22" t="s">
        <v>612</v>
      </c>
      <c r="C211" s="21"/>
      <c r="N211" t="str">
        <f>IF($B$1="","",IF(ISNUMBER(SEARCH($B$1,$A211&amp;" "&amp;$B211)),MAX($N$3:N210)+1,""))</f>
        <v/>
      </c>
    </row>
    <row r="212" spans="1:14" x14ac:dyDescent="0.25">
      <c r="A212" s="21" t="s">
        <v>613</v>
      </c>
      <c r="B212" s="22" t="s">
        <v>614</v>
      </c>
      <c r="C212" s="21"/>
      <c r="N212" t="str">
        <f>IF($B$1="","",IF(ISNUMBER(SEARCH($B$1,$A212&amp;" "&amp;$B212)),MAX($N$3:N211)+1,""))</f>
        <v/>
      </c>
    </row>
    <row r="213" spans="1:14" x14ac:dyDescent="0.25">
      <c r="A213" s="21" t="s">
        <v>615</v>
      </c>
      <c r="B213" s="22" t="s">
        <v>616</v>
      </c>
      <c r="C213" s="21"/>
      <c r="N213" t="str">
        <f>IF($B$1="","",IF(ISNUMBER(SEARCH($B$1,$A213&amp;" "&amp;$B213)),MAX($N$3:N212)+1,""))</f>
        <v/>
      </c>
    </row>
    <row r="214" spans="1:14" x14ac:dyDescent="0.25">
      <c r="A214" s="21" t="s">
        <v>617</v>
      </c>
      <c r="B214" s="22" t="s">
        <v>53</v>
      </c>
      <c r="C214" s="21"/>
      <c r="N214" t="str">
        <f>IF($B$1="","",IF(ISNUMBER(SEARCH($B$1,$A214&amp;" "&amp;$B214)),MAX($N$3:N213)+1,""))</f>
        <v/>
      </c>
    </row>
    <row r="215" spans="1:14" x14ac:dyDescent="0.25">
      <c r="A215" s="21" t="s">
        <v>618</v>
      </c>
      <c r="B215" s="22" t="s">
        <v>619</v>
      </c>
      <c r="C215" s="21"/>
      <c r="N215" t="str">
        <f>IF($B$1="","",IF(ISNUMBER(SEARCH($B$1,$A215&amp;" "&amp;$B215)),MAX($N$3:N214)+1,""))</f>
        <v/>
      </c>
    </row>
    <row r="216" spans="1:14" x14ac:dyDescent="0.25">
      <c r="A216" s="21" t="s">
        <v>620</v>
      </c>
      <c r="B216" s="22" t="s">
        <v>35</v>
      </c>
      <c r="C216" s="21" t="s">
        <v>455</v>
      </c>
      <c r="N216" t="str">
        <f>IF($B$1="","",IF(ISNUMBER(SEARCH($B$1,$A216&amp;" "&amp;$B216)),MAX($N$3:N215)+1,""))</f>
        <v/>
      </c>
    </row>
    <row r="217" spans="1:14" x14ac:dyDescent="0.25">
      <c r="A217" s="21" t="s">
        <v>621</v>
      </c>
      <c r="B217" s="22" t="s">
        <v>622</v>
      </c>
      <c r="C217" s="21"/>
      <c r="N217" t="str">
        <f>IF($B$1="","",IF(ISNUMBER(SEARCH($B$1,$A217&amp;" "&amp;$B217)),MAX($N$3:N216)+1,""))</f>
        <v/>
      </c>
    </row>
    <row r="218" spans="1:14" x14ac:dyDescent="0.25">
      <c r="A218" s="21" t="s">
        <v>623</v>
      </c>
      <c r="B218" s="22" t="s">
        <v>624</v>
      </c>
      <c r="C218" s="21"/>
      <c r="N218" t="str">
        <f>IF($B$1="","",IF(ISNUMBER(SEARCH($B$1,$A218&amp;" "&amp;$B218)),MAX($N$3:N217)+1,""))</f>
        <v/>
      </c>
    </row>
    <row r="219" spans="1:14" x14ac:dyDescent="0.25">
      <c r="A219" s="21" t="s">
        <v>625</v>
      </c>
      <c r="B219" s="22" t="s">
        <v>626</v>
      </c>
      <c r="C219" s="21"/>
      <c r="N219" t="str">
        <f>IF($B$1="","",IF(ISNUMBER(SEARCH($B$1,$A219&amp;" "&amp;$B219)),MAX($N$3:N218)+1,""))</f>
        <v/>
      </c>
    </row>
    <row r="220" spans="1:14" x14ac:dyDescent="0.25">
      <c r="A220" s="21" t="s">
        <v>627</v>
      </c>
      <c r="B220" s="22" t="s">
        <v>32</v>
      </c>
      <c r="C220" s="21"/>
      <c r="N220" t="str">
        <f>IF($B$1="","",IF(ISNUMBER(SEARCH($B$1,$A220&amp;" "&amp;$B220)),MAX($N$3:N219)+1,""))</f>
        <v/>
      </c>
    </row>
    <row r="221" spans="1:14" x14ac:dyDescent="0.25">
      <c r="A221" s="21" t="s">
        <v>628</v>
      </c>
      <c r="B221" s="22" t="s">
        <v>629</v>
      </c>
      <c r="C221" s="21"/>
      <c r="N221" t="str">
        <f>IF($B$1="","",IF(ISNUMBER(SEARCH($B$1,$A221&amp;" "&amp;$B221)),MAX($N$3:N220)+1,""))</f>
        <v/>
      </c>
    </row>
    <row r="222" spans="1:14" x14ac:dyDescent="0.25">
      <c r="A222" s="21" t="s">
        <v>630</v>
      </c>
      <c r="B222" s="22" t="s">
        <v>631</v>
      </c>
      <c r="C222" s="21"/>
      <c r="N222" t="str">
        <f>IF($B$1="","",IF(ISNUMBER(SEARCH($B$1,$A222&amp;" "&amp;$B222)),MAX($N$3:N221)+1,""))</f>
        <v/>
      </c>
    </row>
    <row r="223" spans="1:14" x14ac:dyDescent="0.25">
      <c r="A223" s="21" t="s">
        <v>632</v>
      </c>
      <c r="B223" s="22" t="s">
        <v>633</v>
      </c>
      <c r="C223" s="21"/>
      <c r="N223" t="str">
        <f>IF($B$1="","",IF(ISNUMBER(SEARCH($B$1,$A223&amp;" "&amp;$B223)),MAX($N$3:N222)+1,""))</f>
        <v/>
      </c>
    </row>
    <row r="224" spans="1:14" x14ac:dyDescent="0.25">
      <c r="A224" s="21" t="s">
        <v>634</v>
      </c>
      <c r="B224" s="22" t="s">
        <v>635</v>
      </c>
      <c r="C224" s="21"/>
      <c r="N224" t="str">
        <f>IF($B$1="","",IF(ISNUMBER(SEARCH($B$1,$A224&amp;" "&amp;$B224)),MAX($N$3:N223)+1,""))</f>
        <v/>
      </c>
    </row>
    <row r="225" spans="1:14" x14ac:dyDescent="0.25">
      <c r="A225" s="21" t="s">
        <v>636</v>
      </c>
      <c r="B225" s="22" t="s">
        <v>637</v>
      </c>
      <c r="C225" s="21"/>
      <c r="N225" t="str">
        <f>IF($B$1="","",IF(ISNUMBER(SEARCH($B$1,$A225&amp;" "&amp;$B225)),MAX($N$3:N224)+1,""))</f>
        <v/>
      </c>
    </row>
    <row r="226" spans="1:14" x14ac:dyDescent="0.25">
      <c r="A226" s="21" t="s">
        <v>638</v>
      </c>
      <c r="B226" s="22" t="s">
        <v>639</v>
      </c>
      <c r="C226" s="21"/>
      <c r="N226" t="str">
        <f>IF($B$1="","",IF(ISNUMBER(SEARCH($B$1,$A226&amp;" "&amp;$B226)),MAX($N$3:N225)+1,""))</f>
        <v/>
      </c>
    </row>
    <row r="227" spans="1:14" x14ac:dyDescent="0.25">
      <c r="A227" s="21" t="s">
        <v>640</v>
      </c>
      <c r="B227" s="22" t="s">
        <v>641</v>
      </c>
      <c r="C227" s="21"/>
      <c r="N227" t="str">
        <f>IF($B$1="","",IF(ISNUMBER(SEARCH($B$1,$A227&amp;" "&amp;$B227)),MAX($N$3:N226)+1,""))</f>
        <v/>
      </c>
    </row>
    <row r="228" spans="1:14" x14ac:dyDescent="0.25">
      <c r="A228" s="21" t="s">
        <v>642</v>
      </c>
      <c r="B228" s="22" t="s">
        <v>643</v>
      </c>
      <c r="C228" s="21"/>
      <c r="N228" t="str">
        <f>IF($B$1="","",IF(ISNUMBER(SEARCH($B$1,$A228&amp;" "&amp;$B228)),MAX($N$3:N227)+1,""))</f>
        <v/>
      </c>
    </row>
    <row r="229" spans="1:14" x14ac:dyDescent="0.25">
      <c r="A229" s="21" t="s">
        <v>644</v>
      </c>
      <c r="B229" s="22" t="s">
        <v>645</v>
      </c>
      <c r="C229" s="21"/>
      <c r="N229" t="str">
        <f>IF($B$1="","",IF(ISNUMBER(SEARCH($B$1,$A229&amp;" "&amp;$B229)),MAX($N$3:N228)+1,""))</f>
        <v/>
      </c>
    </row>
    <row r="230" spans="1:14" x14ac:dyDescent="0.25">
      <c r="A230" s="21" t="s">
        <v>646</v>
      </c>
      <c r="B230" s="22" t="s">
        <v>647</v>
      </c>
      <c r="C230" s="21"/>
      <c r="N230" t="str">
        <f>IF($B$1="","",IF(ISNUMBER(SEARCH($B$1,$A230&amp;" "&amp;$B230)),MAX($N$3:N229)+1,""))</f>
        <v/>
      </c>
    </row>
    <row r="231" spans="1:14" x14ac:dyDescent="0.25">
      <c r="A231" s="21" t="s">
        <v>648</v>
      </c>
      <c r="B231" s="22" t="s">
        <v>649</v>
      </c>
      <c r="C231" s="21"/>
      <c r="N231" t="str">
        <f>IF($B$1="","",IF(ISNUMBER(SEARCH($B$1,$A231&amp;" "&amp;$B231)),MAX($N$3:N230)+1,""))</f>
        <v/>
      </c>
    </row>
    <row r="232" spans="1:14" x14ac:dyDescent="0.25">
      <c r="A232" s="21" t="s">
        <v>650</v>
      </c>
      <c r="B232" s="22" t="s">
        <v>651</v>
      </c>
      <c r="C232" s="21"/>
      <c r="N232" t="str">
        <f>IF($B$1="","",IF(ISNUMBER(SEARCH($B$1,$A232&amp;" "&amp;$B232)),MAX($N$3:N231)+1,""))</f>
        <v/>
      </c>
    </row>
    <row r="233" spans="1:14" x14ac:dyDescent="0.25">
      <c r="A233" s="21" t="s">
        <v>652</v>
      </c>
      <c r="B233" s="22" t="s">
        <v>653</v>
      </c>
      <c r="C233" s="21"/>
      <c r="N233" t="str">
        <f>IF($B$1="","",IF(ISNUMBER(SEARCH($B$1,$A233&amp;" "&amp;$B233)),MAX($N$3:N232)+1,""))</f>
        <v/>
      </c>
    </row>
    <row r="234" spans="1:14" x14ac:dyDescent="0.25">
      <c r="A234" s="21" t="s">
        <v>654</v>
      </c>
      <c r="B234" s="22" t="s">
        <v>655</v>
      </c>
      <c r="C234" s="21"/>
      <c r="N234" t="str">
        <f>IF($B$1="","",IF(ISNUMBER(SEARCH($B$1,$A234&amp;" "&amp;$B234)),MAX($N$3:N233)+1,""))</f>
        <v/>
      </c>
    </row>
    <row r="235" spans="1:14" x14ac:dyDescent="0.25">
      <c r="A235" s="21" t="s">
        <v>656</v>
      </c>
      <c r="B235" s="22" t="s">
        <v>657</v>
      </c>
      <c r="C235" s="21"/>
      <c r="N235" t="str">
        <f>IF($B$1="","",IF(ISNUMBER(SEARCH($B$1,$A235&amp;" "&amp;$B235)),MAX($N$3:N234)+1,""))</f>
        <v/>
      </c>
    </row>
    <row r="236" spans="1:14" x14ac:dyDescent="0.25">
      <c r="A236" s="21" t="s">
        <v>658</v>
      </c>
      <c r="B236" s="22" t="s">
        <v>659</v>
      </c>
      <c r="C236" s="21"/>
      <c r="N236" t="str">
        <f>IF($B$1="","",IF(ISNUMBER(SEARCH($B$1,$A236&amp;" "&amp;$B236)),MAX($N$3:N235)+1,""))</f>
        <v/>
      </c>
    </row>
    <row r="237" spans="1:14" x14ac:dyDescent="0.25">
      <c r="A237" s="21" t="s">
        <v>660</v>
      </c>
      <c r="B237" s="22" t="s">
        <v>661</v>
      </c>
      <c r="C237" s="21"/>
      <c r="N237" t="str">
        <f>IF($B$1="","",IF(ISNUMBER(SEARCH($B$1,$A237&amp;" "&amp;$B237)),MAX($N$3:N236)+1,""))</f>
        <v/>
      </c>
    </row>
    <row r="238" spans="1:14" x14ac:dyDescent="0.25">
      <c r="A238" s="21" t="s">
        <v>662</v>
      </c>
      <c r="B238" s="22" t="s">
        <v>663</v>
      </c>
      <c r="C238" s="21"/>
      <c r="N238" t="str">
        <f>IF($B$1="","",IF(ISNUMBER(SEARCH($B$1,$A238&amp;" "&amp;$B238)),MAX($N$3:N237)+1,""))</f>
        <v/>
      </c>
    </row>
    <row r="239" spans="1:14" x14ac:dyDescent="0.25">
      <c r="A239" s="21" t="s">
        <v>664</v>
      </c>
      <c r="B239" s="22" t="s">
        <v>665</v>
      </c>
      <c r="C239" s="21"/>
      <c r="N239" t="str">
        <f>IF($B$1="","",IF(ISNUMBER(SEARCH($B$1,$A239&amp;" "&amp;$B239)),MAX($N$3:N238)+1,""))</f>
        <v/>
      </c>
    </row>
    <row r="240" spans="1:14" x14ac:dyDescent="0.25">
      <c r="A240" s="21" t="s">
        <v>666</v>
      </c>
      <c r="B240" s="22" t="s">
        <v>667</v>
      </c>
      <c r="C240" s="21"/>
      <c r="N240" t="str">
        <f>IF($B$1="","",IF(ISNUMBER(SEARCH($B$1,$A240&amp;" "&amp;$B240)),MAX($N$3:N239)+1,""))</f>
        <v/>
      </c>
    </row>
    <row r="241" spans="1:14" x14ac:dyDescent="0.25">
      <c r="A241" s="21" t="s">
        <v>668</v>
      </c>
      <c r="B241" s="22" t="s">
        <v>669</v>
      </c>
      <c r="C241" s="21"/>
      <c r="N241" t="str">
        <f>IF($B$1="","",IF(ISNUMBER(SEARCH($B$1,$A241&amp;" "&amp;$B241)),MAX($N$3:N240)+1,""))</f>
        <v/>
      </c>
    </row>
    <row r="242" spans="1:14" x14ac:dyDescent="0.25">
      <c r="A242" s="21" t="s">
        <v>670</v>
      </c>
      <c r="B242" s="22" t="s">
        <v>671</v>
      </c>
      <c r="C242" s="21"/>
      <c r="N242" t="str">
        <f>IF($B$1="","",IF(ISNUMBER(SEARCH($B$1,$A242&amp;" "&amp;$B242)),MAX($N$3:N241)+1,""))</f>
        <v/>
      </c>
    </row>
    <row r="243" spans="1:14" x14ac:dyDescent="0.25">
      <c r="A243" s="21" t="s">
        <v>672</v>
      </c>
      <c r="B243" s="22" t="s">
        <v>673</v>
      </c>
      <c r="C243" s="21"/>
      <c r="N243" t="str">
        <f>IF($B$1="","",IF(ISNUMBER(SEARCH($B$1,$A243&amp;" "&amp;$B243)),MAX($N$3:N242)+1,""))</f>
        <v/>
      </c>
    </row>
    <row r="244" spans="1:14" x14ac:dyDescent="0.25">
      <c r="A244" s="21" t="s">
        <v>674</v>
      </c>
      <c r="B244" s="22" t="s">
        <v>675</v>
      </c>
      <c r="C244" s="21"/>
      <c r="N244" t="str">
        <f>IF($B$1="","",IF(ISNUMBER(SEARCH($B$1,$A244&amp;" "&amp;$B244)),MAX($N$3:N243)+1,""))</f>
        <v/>
      </c>
    </row>
    <row r="245" spans="1:14" x14ac:dyDescent="0.25">
      <c r="A245" s="21" t="s">
        <v>676</v>
      </c>
      <c r="B245" s="22" t="s">
        <v>677</v>
      </c>
      <c r="C245" s="21"/>
      <c r="N245" t="str">
        <f>IF($B$1="","",IF(ISNUMBER(SEARCH($B$1,$A245&amp;" "&amp;$B245)),MAX($N$3:N244)+1,""))</f>
        <v/>
      </c>
    </row>
    <row r="246" spans="1:14" x14ac:dyDescent="0.25">
      <c r="A246" s="21" t="s">
        <v>678</v>
      </c>
      <c r="B246" s="22" t="s">
        <v>679</v>
      </c>
      <c r="C246" s="21"/>
      <c r="N246" t="str">
        <f>IF($B$1="","",IF(ISNUMBER(SEARCH($B$1,$A246&amp;" "&amp;$B246)),MAX($N$3:N245)+1,""))</f>
        <v/>
      </c>
    </row>
    <row r="247" spans="1:14" x14ac:dyDescent="0.25">
      <c r="A247" s="21" t="s">
        <v>680</v>
      </c>
      <c r="B247" s="22" t="s">
        <v>681</v>
      </c>
      <c r="C247" s="21"/>
      <c r="N247" t="str">
        <f>IF($B$1="","",IF(ISNUMBER(SEARCH($B$1,$A247&amp;" "&amp;$B247)),MAX($N$3:N246)+1,""))</f>
        <v/>
      </c>
    </row>
    <row r="248" spans="1:14" x14ac:dyDescent="0.25">
      <c r="A248" s="21" t="s">
        <v>682</v>
      </c>
      <c r="B248" s="22" t="s">
        <v>683</v>
      </c>
      <c r="C248" s="21"/>
      <c r="N248" t="str">
        <f>IF($B$1="","",IF(ISNUMBER(SEARCH($B$1,$A248&amp;" "&amp;$B248)),MAX($N$3:N247)+1,""))</f>
        <v/>
      </c>
    </row>
    <row r="249" spans="1:14" x14ac:dyDescent="0.25">
      <c r="A249" s="21" t="s">
        <v>684</v>
      </c>
      <c r="B249" s="22" t="s">
        <v>685</v>
      </c>
      <c r="C249" s="21"/>
      <c r="N249" t="str">
        <f>IF($B$1="","",IF(ISNUMBER(SEARCH($B$1,$A249&amp;" "&amp;$B249)),MAX($N$3:N248)+1,""))</f>
        <v/>
      </c>
    </row>
    <row r="250" spans="1:14" x14ac:dyDescent="0.25">
      <c r="A250" s="21" t="s">
        <v>686</v>
      </c>
      <c r="B250" s="22" t="s">
        <v>687</v>
      </c>
      <c r="C250" s="21"/>
      <c r="N250" t="str">
        <f>IF($B$1="","",IF(ISNUMBER(SEARCH($B$1,$A250&amp;" "&amp;$B250)),MAX($N$3:N249)+1,""))</f>
        <v/>
      </c>
    </row>
    <row r="251" spans="1:14" x14ac:dyDescent="0.25">
      <c r="A251" s="21" t="s">
        <v>688</v>
      </c>
      <c r="B251" s="22" t="s">
        <v>689</v>
      </c>
      <c r="C251" s="21"/>
      <c r="N251" t="str">
        <f>IF($B$1="","",IF(ISNUMBER(SEARCH($B$1,$A251&amp;" "&amp;$B251)),MAX($N$3:N250)+1,""))</f>
        <v/>
      </c>
    </row>
    <row r="252" spans="1:14" x14ac:dyDescent="0.25">
      <c r="A252" s="21" t="s">
        <v>690</v>
      </c>
      <c r="B252" s="22" t="s">
        <v>691</v>
      </c>
      <c r="C252" s="21"/>
      <c r="N252" t="str">
        <f>IF($B$1="","",IF(ISNUMBER(SEARCH($B$1,$A252&amp;" "&amp;$B252)),MAX($N$3:N251)+1,""))</f>
        <v/>
      </c>
    </row>
    <row r="253" spans="1:14" x14ac:dyDescent="0.25">
      <c r="A253" s="21" t="s">
        <v>692</v>
      </c>
      <c r="B253" s="22" t="s">
        <v>693</v>
      </c>
      <c r="C253" s="21"/>
      <c r="N253" t="str">
        <f>IF($B$1="","",IF(ISNUMBER(SEARCH($B$1,$A253&amp;" "&amp;$B253)),MAX($N$3:N252)+1,""))</f>
        <v/>
      </c>
    </row>
    <row r="254" spans="1:14" x14ac:dyDescent="0.25">
      <c r="A254" s="21" t="s">
        <v>694</v>
      </c>
      <c r="B254" s="22" t="s">
        <v>695</v>
      </c>
      <c r="C254" s="21"/>
      <c r="N254" t="str">
        <f>IF($B$1="","",IF(ISNUMBER(SEARCH($B$1,$A254&amp;" "&amp;$B254)),MAX($N$3:N253)+1,""))</f>
        <v/>
      </c>
    </row>
    <row r="255" spans="1:14" x14ac:dyDescent="0.25">
      <c r="A255" s="21" t="s">
        <v>696</v>
      </c>
      <c r="B255" s="22" t="s">
        <v>697</v>
      </c>
      <c r="C255" s="21"/>
      <c r="N255" t="str">
        <f>IF($B$1="","",IF(ISNUMBER(SEARCH($B$1,$A255&amp;" "&amp;$B255)),MAX($N$3:N254)+1,""))</f>
        <v/>
      </c>
    </row>
    <row r="256" spans="1:14" x14ac:dyDescent="0.25">
      <c r="A256" s="21" t="s">
        <v>698</v>
      </c>
      <c r="B256" s="22" t="s">
        <v>699</v>
      </c>
      <c r="C256" s="21"/>
      <c r="N256" t="str">
        <f>IF($B$1="","",IF(ISNUMBER(SEARCH($B$1,$A256&amp;" "&amp;$B256)),MAX($N$3:N255)+1,""))</f>
        <v/>
      </c>
    </row>
    <row r="257" spans="1:14" x14ac:dyDescent="0.25">
      <c r="A257" s="21" t="s">
        <v>700</v>
      </c>
      <c r="B257" s="22" t="s">
        <v>701</v>
      </c>
      <c r="C257" s="21"/>
      <c r="N257" t="str">
        <f>IF($B$1="","",IF(ISNUMBER(SEARCH($B$1,$A257&amp;" "&amp;$B257)),MAX($N$3:N256)+1,""))</f>
        <v/>
      </c>
    </row>
    <row r="258" spans="1:14" x14ac:dyDescent="0.25">
      <c r="A258" s="21" t="s">
        <v>702</v>
      </c>
      <c r="B258" s="22" t="s">
        <v>703</v>
      </c>
      <c r="C258" s="21"/>
      <c r="N258" t="str">
        <f>IF($B$1="","",IF(ISNUMBER(SEARCH($B$1,$A258&amp;" "&amp;$B258)),MAX($N$3:N257)+1,""))</f>
        <v/>
      </c>
    </row>
    <row r="259" spans="1:14" x14ac:dyDescent="0.25">
      <c r="A259" s="21" t="s">
        <v>704</v>
      </c>
      <c r="B259" s="22" t="s">
        <v>705</v>
      </c>
      <c r="C259" s="21"/>
      <c r="N259" t="str">
        <f>IF($B$1="","",IF(ISNUMBER(SEARCH($B$1,$A259&amp;" "&amp;$B259)),MAX($N$3:N258)+1,""))</f>
        <v/>
      </c>
    </row>
    <row r="260" spans="1:14" x14ac:dyDescent="0.25">
      <c r="A260" s="21" t="s">
        <v>706</v>
      </c>
      <c r="B260" s="22" t="s">
        <v>707</v>
      </c>
      <c r="C260" s="21"/>
      <c r="N260" t="str">
        <f>IF($B$1="","",IF(ISNUMBER(SEARCH($B$1,$A260&amp;" "&amp;$B260)),MAX($N$3:N259)+1,""))</f>
        <v/>
      </c>
    </row>
    <row r="261" spans="1:14" x14ac:dyDescent="0.25">
      <c r="A261" s="21" t="s">
        <v>708</v>
      </c>
      <c r="B261" s="22" t="s">
        <v>709</v>
      </c>
      <c r="C261" s="21"/>
      <c r="N261" t="str">
        <f>IF($B$1="","",IF(ISNUMBER(SEARCH($B$1,$A261&amp;" "&amp;$B261)),MAX($N$3:N260)+1,""))</f>
        <v/>
      </c>
    </row>
    <row r="262" spans="1:14" x14ac:dyDescent="0.25">
      <c r="A262" s="21" t="s">
        <v>710</v>
      </c>
      <c r="B262" s="22" t="s">
        <v>711</v>
      </c>
      <c r="C262" s="21"/>
      <c r="N262" t="str">
        <f>IF($B$1="","",IF(ISNUMBER(SEARCH($B$1,$A262&amp;" "&amp;$B262)),MAX($N$3:N261)+1,""))</f>
        <v/>
      </c>
    </row>
    <row r="263" spans="1:14" x14ac:dyDescent="0.25">
      <c r="A263" s="21" t="s">
        <v>712</v>
      </c>
      <c r="B263" s="22" t="s">
        <v>713</v>
      </c>
      <c r="C263" s="21"/>
      <c r="N263" t="str">
        <f>IF($B$1="","",IF(ISNUMBER(SEARCH($B$1,$A263&amp;" "&amp;$B263)),MAX($N$3:N262)+1,""))</f>
        <v/>
      </c>
    </row>
    <row r="264" spans="1:14" x14ac:dyDescent="0.25">
      <c r="A264" s="21" t="s">
        <v>714</v>
      </c>
      <c r="B264" s="22" t="s">
        <v>715</v>
      </c>
      <c r="C264" s="21"/>
      <c r="N264" t="str">
        <f>IF($B$1="","",IF(ISNUMBER(SEARCH($B$1,$A264&amp;" "&amp;$B264)),MAX($N$3:N263)+1,""))</f>
        <v/>
      </c>
    </row>
    <row r="265" spans="1:14" x14ac:dyDescent="0.25">
      <c r="A265" s="21" t="s">
        <v>716</v>
      </c>
      <c r="B265" s="22" t="s">
        <v>717</v>
      </c>
      <c r="C265" s="21"/>
      <c r="N265" t="str">
        <f>IF($B$1="","",IF(ISNUMBER(SEARCH($B$1,$A265&amp;" "&amp;$B265)),MAX($N$3:N264)+1,""))</f>
        <v/>
      </c>
    </row>
    <row r="266" spans="1:14" x14ac:dyDescent="0.25">
      <c r="A266" s="21" t="s">
        <v>718</v>
      </c>
      <c r="B266" s="22" t="s">
        <v>719</v>
      </c>
      <c r="C266" s="21"/>
      <c r="N266" t="str">
        <f>IF($B$1="","",IF(ISNUMBER(SEARCH($B$1,$A266&amp;" "&amp;$B266)),MAX($N$3:N265)+1,""))</f>
        <v/>
      </c>
    </row>
    <row r="267" spans="1:14" x14ac:dyDescent="0.25">
      <c r="A267" s="21" t="s">
        <v>720</v>
      </c>
      <c r="B267" s="22" t="s">
        <v>721</v>
      </c>
      <c r="C267" s="21"/>
      <c r="N267" t="str">
        <f>IF($B$1="","",IF(ISNUMBER(SEARCH($B$1,$A267&amp;" "&amp;$B267)),MAX($N$3:N266)+1,""))</f>
        <v/>
      </c>
    </row>
    <row r="268" spans="1:14" x14ac:dyDescent="0.25">
      <c r="A268" s="21" t="s">
        <v>722</v>
      </c>
      <c r="B268" s="22" t="s">
        <v>22</v>
      </c>
      <c r="C268" s="21"/>
      <c r="N268" t="str">
        <f>IF($B$1="","",IF(ISNUMBER(SEARCH($B$1,$A268&amp;" "&amp;$B268)),MAX($N$3:N267)+1,""))</f>
        <v/>
      </c>
    </row>
    <row r="269" spans="1:14" x14ac:dyDescent="0.25">
      <c r="A269" s="21" t="s">
        <v>723</v>
      </c>
      <c r="B269" s="22" t="s">
        <v>724</v>
      </c>
      <c r="C269" s="21"/>
      <c r="N269" t="str">
        <f>IF($B$1="","",IF(ISNUMBER(SEARCH($B$1,$A269&amp;" "&amp;$B269)),MAX($N$3:N268)+1,""))</f>
        <v/>
      </c>
    </row>
    <row r="270" spans="1:14" x14ac:dyDescent="0.25">
      <c r="A270" s="21" t="s">
        <v>725</v>
      </c>
      <c r="B270" s="22" t="s">
        <v>726</v>
      </c>
      <c r="C270" s="21"/>
      <c r="N270" t="str">
        <f>IF($B$1="","",IF(ISNUMBER(SEARCH($B$1,$A270&amp;" "&amp;$B270)),MAX($N$3:N269)+1,""))</f>
        <v/>
      </c>
    </row>
    <row r="271" spans="1:14" x14ac:dyDescent="0.25">
      <c r="A271" s="21" t="s">
        <v>727</v>
      </c>
      <c r="B271" s="22" t="s">
        <v>728</v>
      </c>
      <c r="C271" s="21"/>
      <c r="N271" t="str">
        <f>IF($B$1="","",IF(ISNUMBER(SEARCH($B$1,$A271&amp;" "&amp;$B271)),MAX($N$3:N270)+1,""))</f>
        <v/>
      </c>
    </row>
    <row r="272" spans="1:14" x14ac:dyDescent="0.25">
      <c r="A272" s="21" t="s">
        <v>729</v>
      </c>
      <c r="B272" s="22" t="s">
        <v>730</v>
      </c>
      <c r="C272" s="21"/>
      <c r="N272" t="str">
        <f>IF($B$1="","",IF(ISNUMBER(SEARCH($B$1,$A272&amp;" "&amp;$B272)),MAX($N$3:N271)+1,""))</f>
        <v/>
      </c>
    </row>
    <row r="273" spans="1:14" x14ac:dyDescent="0.25">
      <c r="A273" s="21" t="s">
        <v>731</v>
      </c>
      <c r="B273" s="22" t="s">
        <v>732</v>
      </c>
      <c r="C273" s="21"/>
      <c r="N273" t="str">
        <f>IF($B$1="","",IF(ISNUMBER(SEARCH($B$1,$A273&amp;" "&amp;$B273)),MAX($N$3:N272)+1,""))</f>
        <v/>
      </c>
    </row>
    <row r="274" spans="1:14" x14ac:dyDescent="0.25">
      <c r="A274" s="21" t="s">
        <v>733</v>
      </c>
      <c r="B274" s="22" t="s">
        <v>734</v>
      </c>
      <c r="C274" s="21"/>
      <c r="N274" t="str">
        <f>IF($B$1="","",IF(ISNUMBER(SEARCH($B$1,$A274&amp;" "&amp;$B274)),MAX($N$3:N273)+1,""))</f>
        <v/>
      </c>
    </row>
    <row r="275" spans="1:14" x14ac:dyDescent="0.25">
      <c r="A275" s="21" t="s">
        <v>735</v>
      </c>
      <c r="B275" s="22" t="s">
        <v>736</v>
      </c>
      <c r="C275" s="21"/>
      <c r="N275" t="str">
        <f>IF($B$1="","",IF(ISNUMBER(SEARCH($B$1,$A275&amp;" "&amp;$B275)),MAX($N$3:N274)+1,""))</f>
        <v/>
      </c>
    </row>
    <row r="276" spans="1:14" x14ac:dyDescent="0.25">
      <c r="A276" s="21" t="s">
        <v>737</v>
      </c>
      <c r="B276" s="22" t="s">
        <v>738</v>
      </c>
      <c r="C276" s="21"/>
      <c r="N276" t="str">
        <f>IF($B$1="","",IF(ISNUMBER(SEARCH($B$1,$A276&amp;" "&amp;$B276)),MAX($N$3:N275)+1,""))</f>
        <v/>
      </c>
    </row>
    <row r="277" spans="1:14" x14ac:dyDescent="0.25">
      <c r="A277" s="21" t="s">
        <v>739</v>
      </c>
      <c r="B277" s="22" t="s">
        <v>740</v>
      </c>
      <c r="C277" s="21"/>
      <c r="N277" t="str">
        <f>IF($B$1="","",IF(ISNUMBER(SEARCH($B$1,$A277&amp;" "&amp;$B277)),MAX($N$3:N276)+1,""))</f>
        <v/>
      </c>
    </row>
    <row r="278" spans="1:14" x14ac:dyDescent="0.25">
      <c r="A278" s="21" t="s">
        <v>741</v>
      </c>
      <c r="B278" s="22" t="s">
        <v>742</v>
      </c>
      <c r="C278" s="21"/>
      <c r="N278" t="str">
        <f>IF($B$1="","",IF(ISNUMBER(SEARCH($B$1,$A278&amp;" "&amp;$B278)),MAX($N$3:N277)+1,""))</f>
        <v/>
      </c>
    </row>
    <row r="279" spans="1:14" x14ac:dyDescent="0.25">
      <c r="A279" s="21" t="s">
        <v>743</v>
      </c>
      <c r="B279" s="22" t="s">
        <v>744</v>
      </c>
      <c r="C279" s="21"/>
      <c r="N279" t="str">
        <f>IF($B$1="","",IF(ISNUMBER(SEARCH($B$1,$A279&amp;" "&amp;$B279)),MAX($N$3:N278)+1,""))</f>
        <v/>
      </c>
    </row>
    <row r="280" spans="1:14" x14ac:dyDescent="0.25">
      <c r="A280" s="21" t="s">
        <v>745</v>
      </c>
      <c r="B280" s="22" t="s">
        <v>746</v>
      </c>
      <c r="C280" s="21"/>
      <c r="N280" t="str">
        <f>IF($B$1="","",IF(ISNUMBER(SEARCH($B$1,$A280&amp;" "&amp;$B280)),MAX($N$3:N279)+1,""))</f>
        <v/>
      </c>
    </row>
    <row r="281" spans="1:14" x14ac:dyDescent="0.25">
      <c r="A281" s="21" t="s">
        <v>747</v>
      </c>
      <c r="B281" s="22" t="s">
        <v>748</v>
      </c>
      <c r="C281" s="21"/>
      <c r="N281" t="str">
        <f>IF($B$1="","",IF(ISNUMBER(SEARCH($B$1,$A281&amp;" "&amp;$B281)),MAX($N$3:N280)+1,""))</f>
        <v/>
      </c>
    </row>
    <row r="282" spans="1:14" x14ac:dyDescent="0.25">
      <c r="A282" s="21" t="s">
        <v>749</v>
      </c>
      <c r="B282" s="22" t="s">
        <v>750</v>
      </c>
      <c r="C282" s="21"/>
      <c r="N282" t="str">
        <f>IF($B$1="","",IF(ISNUMBER(SEARCH($B$1,$A282&amp;" "&amp;$B282)),MAX($N$3:N281)+1,""))</f>
        <v/>
      </c>
    </row>
    <row r="283" spans="1:14" x14ac:dyDescent="0.25">
      <c r="A283" s="21" t="s">
        <v>751</v>
      </c>
      <c r="B283" s="22" t="s">
        <v>752</v>
      </c>
      <c r="C283" s="21"/>
      <c r="N283" t="str">
        <f>IF($B$1="","",IF(ISNUMBER(SEARCH($B$1,$A283&amp;" "&amp;$B283)),MAX($N$3:N282)+1,""))</f>
        <v/>
      </c>
    </row>
    <row r="284" spans="1:14" x14ac:dyDescent="0.25">
      <c r="A284" s="21" t="s">
        <v>753</v>
      </c>
      <c r="B284" s="22" t="s">
        <v>754</v>
      </c>
      <c r="C284" s="21"/>
      <c r="N284" t="str">
        <f>IF($B$1="","",IF(ISNUMBER(SEARCH($B$1,$A284&amp;" "&amp;$B284)),MAX($N$3:N283)+1,""))</f>
        <v/>
      </c>
    </row>
    <row r="285" spans="1:14" x14ac:dyDescent="0.25">
      <c r="A285" s="21" t="s">
        <v>755</v>
      </c>
      <c r="B285" s="22" t="s">
        <v>756</v>
      </c>
      <c r="C285" s="21"/>
      <c r="N285" t="str">
        <f>IF($B$1="","",IF(ISNUMBER(SEARCH($B$1,$A285&amp;" "&amp;$B285)),MAX($N$3:N284)+1,""))</f>
        <v/>
      </c>
    </row>
    <row r="286" spans="1:14" x14ac:dyDescent="0.25">
      <c r="A286" s="21" t="s">
        <v>757</v>
      </c>
      <c r="B286" s="22" t="s">
        <v>758</v>
      </c>
      <c r="C286" s="21"/>
      <c r="N286" t="str">
        <f>IF($B$1="","",IF(ISNUMBER(SEARCH($B$1,$A286&amp;" "&amp;$B286)),MAX($N$3:N285)+1,""))</f>
        <v/>
      </c>
    </row>
    <row r="287" spans="1:14" x14ac:dyDescent="0.25">
      <c r="A287" s="21" t="s">
        <v>759</v>
      </c>
      <c r="B287" s="22" t="s">
        <v>760</v>
      </c>
      <c r="C287" s="21"/>
      <c r="N287" t="str">
        <f>IF($B$1="","",IF(ISNUMBER(SEARCH($B$1,$A287&amp;" "&amp;$B287)),MAX($N$3:N286)+1,""))</f>
        <v/>
      </c>
    </row>
    <row r="288" spans="1:14" x14ac:dyDescent="0.25">
      <c r="A288" s="21" t="s">
        <v>761</v>
      </c>
      <c r="B288" s="22" t="s">
        <v>24</v>
      </c>
      <c r="C288" s="21"/>
      <c r="N288" t="str">
        <f>IF($B$1="","",IF(ISNUMBER(SEARCH($B$1,$A288&amp;" "&amp;$B288)),MAX($N$3:N287)+1,""))</f>
        <v/>
      </c>
    </row>
    <row r="289" spans="1:14" x14ac:dyDescent="0.25">
      <c r="A289" s="21" t="s">
        <v>104</v>
      </c>
      <c r="B289" s="22" t="s">
        <v>10</v>
      </c>
      <c r="C289" s="21"/>
      <c r="N289" t="str">
        <f>IF($B$1="","",IF(ISNUMBER(SEARCH($B$1,$A289&amp;" "&amp;$B289)),MAX($N$3:N288)+1,""))</f>
        <v/>
      </c>
    </row>
    <row r="290" spans="1:14" x14ac:dyDescent="0.25">
      <c r="A290" s="21" t="s">
        <v>762</v>
      </c>
      <c r="B290" s="22" t="s">
        <v>763</v>
      </c>
      <c r="C290" s="21"/>
      <c r="N290" t="str">
        <f>IF($B$1="","",IF(ISNUMBER(SEARCH($B$1,$A290&amp;" "&amp;$B290)),MAX($N$3:N289)+1,""))</f>
        <v/>
      </c>
    </row>
    <row r="291" spans="1:14" x14ac:dyDescent="0.25">
      <c r="A291" s="21" t="s">
        <v>764</v>
      </c>
      <c r="B291" s="22" t="s">
        <v>765</v>
      </c>
      <c r="C291" s="21"/>
      <c r="N291" t="str">
        <f>IF($B$1="","",IF(ISNUMBER(SEARCH($B$1,$A291&amp;" "&amp;$B291)),MAX($N$3:N290)+1,""))</f>
        <v/>
      </c>
    </row>
    <row r="292" spans="1:14" x14ac:dyDescent="0.25">
      <c r="A292" s="21" t="s">
        <v>766</v>
      </c>
      <c r="B292" s="22" t="s">
        <v>767</v>
      </c>
      <c r="C292" s="21"/>
      <c r="N292" t="str">
        <f>IF($B$1="","",IF(ISNUMBER(SEARCH($B$1,$A292&amp;" "&amp;$B292)),MAX($N$3:N291)+1,""))</f>
        <v/>
      </c>
    </row>
    <row r="293" spans="1:14" x14ac:dyDescent="0.25">
      <c r="A293" s="21" t="s">
        <v>768</v>
      </c>
      <c r="B293" s="22" t="s">
        <v>769</v>
      </c>
      <c r="C293" s="21"/>
      <c r="N293" t="str">
        <f>IF($B$1="","",IF(ISNUMBER(SEARCH($B$1,$A293&amp;" "&amp;$B293)),MAX($N$3:N292)+1,""))</f>
        <v/>
      </c>
    </row>
    <row r="294" spans="1:14" x14ac:dyDescent="0.25">
      <c r="A294" s="21" t="s">
        <v>770</v>
      </c>
      <c r="B294" s="22" t="s">
        <v>771</v>
      </c>
      <c r="C294" s="21"/>
      <c r="N294" t="str">
        <f>IF($B$1="","",IF(ISNUMBER(SEARCH($B$1,$A294&amp;" "&amp;$B294)),MAX($N$3:N293)+1,""))</f>
        <v/>
      </c>
    </row>
    <row r="295" spans="1:14" x14ac:dyDescent="0.25">
      <c r="A295" s="21" t="s">
        <v>772</v>
      </c>
      <c r="B295" s="22" t="s">
        <v>44</v>
      </c>
      <c r="C295" s="21"/>
      <c r="N295" t="str">
        <f>IF($B$1="","",IF(ISNUMBER(SEARCH($B$1,$A295&amp;" "&amp;$B295)),MAX($N$3:N294)+1,""))</f>
        <v/>
      </c>
    </row>
    <row r="296" spans="1:14" x14ac:dyDescent="0.25">
      <c r="A296" s="21" t="s">
        <v>773</v>
      </c>
      <c r="B296" s="22" t="s">
        <v>774</v>
      </c>
      <c r="C296" s="21"/>
      <c r="N296" t="str">
        <f>IF($B$1="","",IF(ISNUMBER(SEARCH($B$1,$A296&amp;" "&amp;$B296)),MAX($N$3:N295)+1,""))</f>
        <v/>
      </c>
    </row>
    <row r="297" spans="1:14" x14ac:dyDescent="0.25">
      <c r="A297" s="21" t="s">
        <v>775</v>
      </c>
      <c r="B297" s="22" t="s">
        <v>36</v>
      </c>
      <c r="C297" s="21" t="s">
        <v>455</v>
      </c>
      <c r="N297" t="str">
        <f>IF($B$1="","",IF(ISNUMBER(SEARCH($B$1,$A297&amp;" "&amp;$B297)),MAX($N$3:N296)+1,""))</f>
        <v/>
      </c>
    </row>
    <row r="298" spans="1:14" x14ac:dyDescent="0.25">
      <c r="A298" s="21" t="s">
        <v>776</v>
      </c>
      <c r="B298" s="22" t="s">
        <v>777</v>
      </c>
      <c r="C298" s="21"/>
      <c r="N298" t="str">
        <f>IF($B$1="","",IF(ISNUMBER(SEARCH($B$1,$A298&amp;" "&amp;$B298)),MAX($N$3:N297)+1,""))</f>
        <v/>
      </c>
    </row>
    <row r="299" spans="1:14" x14ac:dyDescent="0.25">
      <c r="A299" s="21" t="s">
        <v>778</v>
      </c>
      <c r="B299" s="22" t="s">
        <v>779</v>
      </c>
      <c r="C299" s="21"/>
      <c r="N299" t="str">
        <f>IF($B$1="","",IF(ISNUMBER(SEARCH($B$1,$A299&amp;" "&amp;$B299)),MAX($N$3:N298)+1,""))</f>
        <v/>
      </c>
    </row>
    <row r="300" spans="1:14" x14ac:dyDescent="0.25">
      <c r="A300" s="21" t="s">
        <v>780</v>
      </c>
      <c r="B300" s="22" t="s">
        <v>781</v>
      </c>
      <c r="C300" s="21"/>
      <c r="N300" t="str">
        <f>IF($B$1="","",IF(ISNUMBER(SEARCH($B$1,$A300&amp;" "&amp;$B300)),MAX($N$3:N299)+1,""))</f>
        <v/>
      </c>
    </row>
    <row r="301" spans="1:14" x14ac:dyDescent="0.25">
      <c r="A301" s="21" t="s">
        <v>782</v>
      </c>
      <c r="B301" s="22" t="s">
        <v>783</v>
      </c>
      <c r="C301" s="21"/>
      <c r="N301" t="str">
        <f>IF($B$1="","",IF(ISNUMBER(SEARCH($B$1,$A301&amp;" "&amp;$B301)),MAX($N$3:N300)+1,""))</f>
        <v/>
      </c>
    </row>
    <row r="302" spans="1:14" x14ac:dyDescent="0.25">
      <c r="A302" s="21" t="s">
        <v>784</v>
      </c>
      <c r="B302" s="22" t="s">
        <v>785</v>
      </c>
      <c r="C302" s="21"/>
      <c r="N302" t="str">
        <f>IF($B$1="","",IF(ISNUMBER(SEARCH($B$1,$A302&amp;" "&amp;$B302)),MAX($N$3:N301)+1,""))</f>
        <v/>
      </c>
    </row>
    <row r="303" spans="1:14" x14ac:dyDescent="0.25">
      <c r="A303" s="21" t="s">
        <v>786</v>
      </c>
      <c r="B303" s="22" t="s">
        <v>787</v>
      </c>
      <c r="C303" s="21"/>
      <c r="N303" t="str">
        <f>IF($B$1="","",IF(ISNUMBER(SEARCH($B$1,$A303&amp;" "&amp;$B303)),MAX($N$3:N302)+1,""))</f>
        <v/>
      </c>
    </row>
    <row r="304" spans="1:14" x14ac:dyDescent="0.25">
      <c r="A304" s="21" t="s">
        <v>788</v>
      </c>
      <c r="B304" s="22" t="s">
        <v>789</v>
      </c>
      <c r="C304" s="21"/>
      <c r="N304" t="str">
        <f>IF($B$1="","",IF(ISNUMBER(SEARCH($B$1,$A304&amp;" "&amp;$B304)),MAX($N$3:N303)+1,""))</f>
        <v/>
      </c>
    </row>
    <row r="305" spans="1:14" x14ac:dyDescent="0.25">
      <c r="A305" s="21" t="s">
        <v>790</v>
      </c>
      <c r="B305" s="22" t="s">
        <v>791</v>
      </c>
      <c r="C305" s="21"/>
      <c r="N305" t="str">
        <f>IF($B$1="","",IF(ISNUMBER(SEARCH($B$1,$A305&amp;" "&amp;$B305)),MAX($N$3:N304)+1,""))</f>
        <v/>
      </c>
    </row>
    <row r="306" spans="1:14" x14ac:dyDescent="0.25">
      <c r="A306" s="21" t="s">
        <v>792</v>
      </c>
      <c r="B306" s="22" t="s">
        <v>793</v>
      </c>
      <c r="C306" s="21"/>
      <c r="N306" t="str">
        <f>IF($B$1="","",IF(ISNUMBER(SEARCH($B$1,$A306&amp;" "&amp;$B306)),MAX($N$3:N305)+1,""))</f>
        <v/>
      </c>
    </row>
    <row r="307" spans="1:14" x14ac:dyDescent="0.25">
      <c r="A307" s="21" t="s">
        <v>794</v>
      </c>
      <c r="B307" s="22" t="s">
        <v>795</v>
      </c>
      <c r="C307" s="21"/>
      <c r="N307" t="str">
        <f>IF($B$1="","",IF(ISNUMBER(SEARCH($B$1,$A307&amp;" "&amp;$B307)),MAX($N$3:N306)+1,""))</f>
        <v/>
      </c>
    </row>
    <row r="308" spans="1:14" x14ac:dyDescent="0.25">
      <c r="A308" s="21" t="s">
        <v>796</v>
      </c>
      <c r="B308" s="22" t="s">
        <v>797</v>
      </c>
      <c r="C308" s="21"/>
      <c r="N308" t="str">
        <f>IF($B$1="","",IF(ISNUMBER(SEARCH($B$1,$A308&amp;" "&amp;$B308)),MAX($N$3:N307)+1,""))</f>
        <v/>
      </c>
    </row>
    <row r="309" spans="1:14" x14ac:dyDescent="0.25">
      <c r="A309" s="21" t="s">
        <v>798</v>
      </c>
      <c r="B309" s="22" t="s">
        <v>799</v>
      </c>
      <c r="C309" s="21"/>
      <c r="N309" t="str">
        <f>IF($B$1="","",IF(ISNUMBER(SEARCH($B$1,$A309&amp;" "&amp;$B309)),MAX($N$3:N308)+1,""))</f>
        <v/>
      </c>
    </row>
    <row r="310" spans="1:14" x14ac:dyDescent="0.25">
      <c r="A310" s="21" t="s">
        <v>800</v>
      </c>
      <c r="B310" s="22" t="s">
        <v>801</v>
      </c>
      <c r="C310" s="21"/>
      <c r="N310" t="str">
        <f>IF($B$1="","",IF(ISNUMBER(SEARCH($B$1,$A310&amp;" "&amp;$B310)),MAX($N$3:N309)+1,""))</f>
        <v/>
      </c>
    </row>
    <row r="311" spans="1:14" x14ac:dyDescent="0.25">
      <c r="A311" s="21" t="s">
        <v>802</v>
      </c>
      <c r="B311" s="22" t="s">
        <v>803</v>
      </c>
      <c r="C311" s="21"/>
      <c r="N311" t="str">
        <f>IF($B$1="","",IF(ISNUMBER(SEARCH($B$1,$A311&amp;" "&amp;$B311)),MAX($N$3:N310)+1,""))</f>
        <v/>
      </c>
    </row>
    <row r="312" spans="1:14" x14ac:dyDescent="0.25">
      <c r="A312" s="21" t="s">
        <v>804</v>
      </c>
      <c r="B312" s="22" t="s">
        <v>805</v>
      </c>
      <c r="C312" s="21"/>
      <c r="N312" t="str">
        <f>IF($B$1="","",IF(ISNUMBER(SEARCH($B$1,$A312&amp;" "&amp;$B312)),MAX($N$3:N311)+1,""))</f>
        <v/>
      </c>
    </row>
    <row r="313" spans="1:14" x14ac:dyDescent="0.25">
      <c r="A313" s="21" t="s">
        <v>806</v>
      </c>
      <c r="B313" s="22" t="s">
        <v>807</v>
      </c>
      <c r="C313" s="21"/>
      <c r="N313" t="str">
        <f>IF($B$1="","",IF(ISNUMBER(SEARCH($B$1,$A313&amp;" "&amp;$B313)),MAX($N$3:N312)+1,""))</f>
        <v/>
      </c>
    </row>
    <row r="314" spans="1:14" x14ac:dyDescent="0.25">
      <c r="A314" s="21" t="s">
        <v>808</v>
      </c>
      <c r="B314" s="22" t="s">
        <v>809</v>
      </c>
      <c r="C314" s="21"/>
      <c r="N314" t="str">
        <f>IF($B$1="","",IF(ISNUMBER(SEARCH($B$1,$A314&amp;" "&amp;$B314)),MAX($N$3:N313)+1,""))</f>
        <v/>
      </c>
    </row>
    <row r="315" spans="1:14" x14ac:dyDescent="0.25">
      <c r="A315" s="21" t="s">
        <v>810</v>
      </c>
      <c r="B315" s="22" t="s">
        <v>811</v>
      </c>
      <c r="C315" s="21"/>
      <c r="N315" t="str">
        <f>IF($B$1="","",IF(ISNUMBER(SEARCH($B$1,$A315&amp;" "&amp;$B315)),MAX($N$3:N314)+1,""))</f>
        <v/>
      </c>
    </row>
    <row r="316" spans="1:14" x14ac:dyDescent="0.25">
      <c r="A316" s="21" t="s">
        <v>812</v>
      </c>
      <c r="B316" s="22" t="s">
        <v>813</v>
      </c>
      <c r="C316" s="21"/>
      <c r="N316" t="str">
        <f>IF($B$1="","",IF(ISNUMBER(SEARCH($B$1,$A316&amp;" "&amp;$B316)),MAX($N$3:N315)+1,""))</f>
        <v/>
      </c>
    </row>
    <row r="317" spans="1:14" x14ac:dyDescent="0.25">
      <c r="A317" s="21" t="s">
        <v>814</v>
      </c>
      <c r="B317" s="22" t="s">
        <v>815</v>
      </c>
      <c r="C317" s="21"/>
      <c r="N317" t="str">
        <f>IF($B$1="","",IF(ISNUMBER(SEARCH($B$1,$A317&amp;" "&amp;$B317)),MAX($N$3:N316)+1,""))</f>
        <v/>
      </c>
    </row>
    <row r="318" spans="1:14" x14ac:dyDescent="0.25">
      <c r="A318" s="21" t="s">
        <v>816</v>
      </c>
      <c r="B318" s="22" t="s">
        <v>817</v>
      </c>
      <c r="C318" s="21"/>
      <c r="N318" t="str">
        <f>IF($B$1="","",IF(ISNUMBER(SEARCH($B$1,$A318&amp;" "&amp;$B318)),MAX($N$3:N317)+1,""))</f>
        <v/>
      </c>
    </row>
    <row r="319" spans="1:14" x14ac:dyDescent="0.25">
      <c r="A319" s="21" t="s">
        <v>818</v>
      </c>
      <c r="B319" s="22" t="s">
        <v>819</v>
      </c>
      <c r="C319" s="21"/>
      <c r="N319" t="str">
        <f>IF($B$1="","",IF(ISNUMBER(SEARCH($B$1,$A319&amp;" "&amp;$B319)),MAX($N$3:N318)+1,""))</f>
        <v/>
      </c>
    </row>
    <row r="320" spans="1:14" x14ac:dyDescent="0.25">
      <c r="A320" s="21" t="s">
        <v>820</v>
      </c>
      <c r="B320" s="22" t="s">
        <v>54</v>
      </c>
      <c r="C320" s="21"/>
      <c r="N320" t="str">
        <f>IF($B$1="","",IF(ISNUMBER(SEARCH($B$1,$A320&amp;" "&amp;$B320)),MAX($N$3:N319)+1,""))</f>
        <v/>
      </c>
    </row>
    <row r="321" spans="1:14" x14ac:dyDescent="0.25">
      <c r="A321" s="21" t="s">
        <v>821</v>
      </c>
      <c r="B321" s="22" t="s">
        <v>822</v>
      </c>
      <c r="C321" s="21"/>
      <c r="N321" t="str">
        <f>IF($B$1="","",IF(ISNUMBER(SEARCH($B$1,$A321&amp;" "&amp;$B321)),MAX($N$3:N320)+1,""))</f>
        <v/>
      </c>
    </row>
    <row r="322" spans="1:14" x14ac:dyDescent="0.25">
      <c r="A322" s="21" t="s">
        <v>823</v>
      </c>
      <c r="B322" s="22" t="s">
        <v>824</v>
      </c>
      <c r="C322" s="21"/>
      <c r="N322" t="str">
        <f>IF($B$1="","",IF(ISNUMBER(SEARCH($B$1,$A322&amp;" "&amp;$B322)),MAX($N$3:N321)+1,""))</f>
        <v/>
      </c>
    </row>
    <row r="323" spans="1:14" x14ac:dyDescent="0.25">
      <c r="A323" s="21" t="s">
        <v>825</v>
      </c>
      <c r="B323" s="22" t="s">
        <v>826</v>
      </c>
      <c r="C323" s="21"/>
      <c r="N323" t="str">
        <f>IF($B$1="","",IF(ISNUMBER(SEARCH($B$1,$A323&amp;" "&amp;$B323)),MAX($N$3:N322)+1,""))</f>
        <v/>
      </c>
    </row>
    <row r="324" spans="1:14" x14ac:dyDescent="0.25">
      <c r="A324" s="21" t="s">
        <v>827</v>
      </c>
      <c r="B324" s="22" t="s">
        <v>828</v>
      </c>
      <c r="C324" s="21"/>
      <c r="N324" t="str">
        <f>IF($B$1="","",IF(ISNUMBER(SEARCH($B$1,$A324&amp;" "&amp;$B324)),MAX($N$3:N323)+1,""))</f>
        <v/>
      </c>
    </row>
    <row r="325" spans="1:14" x14ac:dyDescent="0.25">
      <c r="A325" s="21" t="s">
        <v>829</v>
      </c>
      <c r="B325" s="22" t="s">
        <v>830</v>
      </c>
      <c r="C325" s="21"/>
      <c r="N325" t="str">
        <f>IF($B$1="","",IF(ISNUMBER(SEARCH($B$1,$A325&amp;" "&amp;$B325)),MAX($N$3:N324)+1,""))</f>
        <v/>
      </c>
    </row>
    <row r="326" spans="1:14" x14ac:dyDescent="0.25">
      <c r="A326" s="21" t="s">
        <v>831</v>
      </c>
      <c r="B326" s="22" t="s">
        <v>832</v>
      </c>
      <c r="C326" s="21"/>
      <c r="N326" t="str">
        <f>IF($B$1="","",IF(ISNUMBER(SEARCH($B$1,$A326&amp;" "&amp;$B326)),MAX($N$3:N325)+1,""))</f>
        <v/>
      </c>
    </row>
    <row r="327" spans="1:14" x14ac:dyDescent="0.25">
      <c r="A327" s="21" t="s">
        <v>833</v>
      </c>
      <c r="B327" s="22" t="s">
        <v>834</v>
      </c>
      <c r="C327" s="21"/>
      <c r="N327" t="str">
        <f>IF($B$1="","",IF(ISNUMBER(SEARCH($B$1,$A327&amp;" "&amp;$B327)),MAX($N$3:N326)+1,""))</f>
        <v/>
      </c>
    </row>
    <row r="328" spans="1:14" x14ac:dyDescent="0.25">
      <c r="A328" s="21" t="s">
        <v>835</v>
      </c>
      <c r="B328" s="22" t="s">
        <v>836</v>
      </c>
      <c r="C328" s="21"/>
      <c r="N328" t="str">
        <f>IF($B$1="","",IF(ISNUMBER(SEARCH($B$1,$A328&amp;" "&amp;$B328)),MAX($N$3:N327)+1,""))</f>
        <v/>
      </c>
    </row>
    <row r="329" spans="1:14" x14ac:dyDescent="0.25">
      <c r="A329" s="21" t="s">
        <v>837</v>
      </c>
      <c r="B329" s="22" t="s">
        <v>838</v>
      </c>
      <c r="C329" s="21"/>
      <c r="N329" t="str">
        <f>IF($B$1="","",IF(ISNUMBER(SEARCH($B$1,$A329&amp;" "&amp;$B329)),MAX($N$3:N328)+1,""))</f>
        <v/>
      </c>
    </row>
    <row r="330" spans="1:14" x14ac:dyDescent="0.25">
      <c r="A330" s="21" t="s">
        <v>839</v>
      </c>
      <c r="B330" s="22" t="s">
        <v>840</v>
      </c>
      <c r="C330" s="21"/>
      <c r="N330" t="str">
        <f>IF($B$1="","",IF(ISNUMBER(SEARCH($B$1,$A330&amp;" "&amp;$B330)),MAX($N$3:N329)+1,""))</f>
        <v/>
      </c>
    </row>
    <row r="331" spans="1:14" x14ac:dyDescent="0.25">
      <c r="A331" s="21" t="s">
        <v>841</v>
      </c>
      <c r="B331" s="22" t="s">
        <v>842</v>
      </c>
      <c r="C331" s="21"/>
      <c r="N331" t="str">
        <f>IF($B$1="","",IF(ISNUMBER(SEARCH($B$1,$A331&amp;" "&amp;$B331)),MAX($N$3:N330)+1,""))</f>
        <v/>
      </c>
    </row>
    <row r="332" spans="1:14" x14ac:dyDescent="0.25">
      <c r="A332" s="21" t="s">
        <v>843</v>
      </c>
      <c r="B332" s="22" t="s">
        <v>844</v>
      </c>
      <c r="C332" s="21"/>
      <c r="N332" t="str">
        <f>IF($B$1="","",IF(ISNUMBER(SEARCH($B$1,$A332&amp;" "&amp;$B332)),MAX($N$3:N331)+1,""))</f>
        <v/>
      </c>
    </row>
    <row r="333" spans="1:14" x14ac:dyDescent="0.25">
      <c r="A333" s="21" t="s">
        <v>845</v>
      </c>
      <c r="B333" s="22" t="s">
        <v>846</v>
      </c>
      <c r="C333" s="21"/>
      <c r="N333" t="str">
        <f>IF($B$1="","",IF(ISNUMBER(SEARCH($B$1,$A333&amp;" "&amp;$B333)),MAX($N$3:N332)+1,""))</f>
        <v/>
      </c>
    </row>
    <row r="334" spans="1:14" x14ac:dyDescent="0.25">
      <c r="A334" s="21" t="s">
        <v>847</v>
      </c>
      <c r="B334" s="22" t="s">
        <v>848</v>
      </c>
      <c r="C334" s="21"/>
      <c r="N334" t="str">
        <f>IF($B$1="","",IF(ISNUMBER(SEARCH($B$1,$A334&amp;" "&amp;$B334)),MAX($N$3:N333)+1,""))</f>
        <v/>
      </c>
    </row>
    <row r="335" spans="1:14" x14ac:dyDescent="0.25">
      <c r="A335" s="21" t="s">
        <v>849</v>
      </c>
      <c r="B335" s="22" t="s">
        <v>850</v>
      </c>
      <c r="C335" s="21"/>
      <c r="N335" t="str">
        <f>IF($B$1="","",IF(ISNUMBER(SEARCH($B$1,$A335&amp;" "&amp;$B335)),MAX($N$3:N334)+1,""))</f>
        <v/>
      </c>
    </row>
    <row r="336" spans="1:14" x14ac:dyDescent="0.25">
      <c r="A336" s="21" t="s">
        <v>851</v>
      </c>
      <c r="B336" s="22" t="s">
        <v>852</v>
      </c>
      <c r="C336" s="21"/>
      <c r="N336" t="str">
        <f>IF($B$1="","",IF(ISNUMBER(SEARCH($B$1,$A336&amp;" "&amp;$B336)),MAX($N$3:N335)+1,""))</f>
        <v/>
      </c>
    </row>
    <row r="337" spans="1:14" x14ac:dyDescent="0.25">
      <c r="A337" s="21" t="s">
        <v>853</v>
      </c>
      <c r="B337" s="22" t="s">
        <v>854</v>
      </c>
      <c r="C337" s="21"/>
      <c r="N337" t="str">
        <f>IF($B$1="","",IF(ISNUMBER(SEARCH($B$1,$A337&amp;" "&amp;$B337)),MAX($N$3:N336)+1,""))</f>
        <v/>
      </c>
    </row>
    <row r="338" spans="1:14" x14ac:dyDescent="0.25">
      <c r="A338" s="21" t="s">
        <v>855</v>
      </c>
      <c r="B338" s="22" t="s">
        <v>856</v>
      </c>
      <c r="C338" s="21"/>
      <c r="N338" t="str">
        <f>IF($B$1="","",IF(ISNUMBER(SEARCH($B$1,$A338&amp;" "&amp;$B338)),MAX($N$3:N337)+1,""))</f>
        <v/>
      </c>
    </row>
    <row r="339" spans="1:14" x14ac:dyDescent="0.25">
      <c r="A339" s="21" t="s">
        <v>857</v>
      </c>
      <c r="B339" s="22" t="s">
        <v>858</v>
      </c>
      <c r="C339" s="21"/>
      <c r="N339" t="str">
        <f>IF($B$1="","",IF(ISNUMBER(SEARCH($B$1,$A339&amp;" "&amp;$B339)),MAX($N$3:N338)+1,""))</f>
        <v/>
      </c>
    </row>
    <row r="340" spans="1:14" x14ac:dyDescent="0.25">
      <c r="A340" s="21" t="s">
        <v>859</v>
      </c>
      <c r="B340" s="22" t="s">
        <v>860</v>
      </c>
      <c r="C340" s="21"/>
      <c r="N340" t="str">
        <f>IF($B$1="","",IF(ISNUMBER(SEARCH($B$1,$A340&amp;" "&amp;$B340)),MAX($N$3:N339)+1,""))</f>
        <v/>
      </c>
    </row>
    <row r="341" spans="1:14" x14ac:dyDescent="0.25">
      <c r="A341" s="21" t="s">
        <v>861</v>
      </c>
      <c r="B341" s="22" t="s">
        <v>862</v>
      </c>
      <c r="C341" s="21"/>
      <c r="N341" t="str">
        <f>IF($B$1="","",IF(ISNUMBER(SEARCH($B$1,$A341&amp;" "&amp;$B341)),MAX($N$3:N340)+1,""))</f>
        <v/>
      </c>
    </row>
    <row r="342" spans="1:14" x14ac:dyDescent="0.25">
      <c r="A342" s="21" t="s">
        <v>863</v>
      </c>
      <c r="B342" s="22" t="s">
        <v>864</v>
      </c>
      <c r="C342" s="21"/>
      <c r="N342" t="str">
        <f>IF($B$1="","",IF(ISNUMBER(SEARCH($B$1,$A342&amp;" "&amp;$B342)),MAX($N$3:N341)+1,""))</f>
        <v/>
      </c>
    </row>
    <row r="343" spans="1:14" x14ac:dyDescent="0.25">
      <c r="A343" s="21" t="s">
        <v>865</v>
      </c>
      <c r="B343" s="22" t="s">
        <v>866</v>
      </c>
      <c r="C343" s="21"/>
      <c r="N343" t="str">
        <f>IF($B$1="","",IF(ISNUMBER(SEARCH($B$1,$A343&amp;" "&amp;$B343)),MAX($N$3:N342)+1,""))</f>
        <v/>
      </c>
    </row>
    <row r="344" spans="1:14" x14ac:dyDescent="0.25">
      <c r="A344" s="21" t="s">
        <v>867</v>
      </c>
      <c r="B344" s="22" t="s">
        <v>868</v>
      </c>
      <c r="C344" s="21"/>
      <c r="N344" t="str">
        <f>IF($B$1="","",IF(ISNUMBER(SEARCH($B$1,$A344&amp;" "&amp;$B344)),MAX($N$3:N343)+1,""))</f>
        <v/>
      </c>
    </row>
    <row r="345" spans="1:14" x14ac:dyDescent="0.25">
      <c r="A345" s="21" t="s">
        <v>869</v>
      </c>
      <c r="B345" s="22" t="s">
        <v>870</v>
      </c>
      <c r="C345" s="21"/>
      <c r="N345" t="str">
        <f>IF($B$1="","",IF(ISNUMBER(SEARCH($B$1,$A345&amp;" "&amp;$B345)),MAX($N$3:N344)+1,""))</f>
        <v/>
      </c>
    </row>
    <row r="346" spans="1:14" x14ac:dyDescent="0.25">
      <c r="A346" s="21" t="s">
        <v>871</v>
      </c>
      <c r="B346" s="22" t="s">
        <v>872</v>
      </c>
      <c r="C346" s="21"/>
      <c r="N346" t="str">
        <f>IF($B$1="","",IF(ISNUMBER(SEARCH($B$1,$A346&amp;" "&amp;$B346)),MAX($N$3:N345)+1,""))</f>
        <v/>
      </c>
    </row>
    <row r="347" spans="1:14" x14ac:dyDescent="0.25">
      <c r="A347" s="21" t="s">
        <v>873</v>
      </c>
      <c r="B347" s="22" t="s">
        <v>874</v>
      </c>
      <c r="C347" s="21"/>
      <c r="N347" t="str">
        <f>IF($B$1="","",IF(ISNUMBER(SEARCH($B$1,$A347&amp;" "&amp;$B347)),MAX($N$3:N346)+1,""))</f>
        <v/>
      </c>
    </row>
    <row r="348" spans="1:14" x14ac:dyDescent="0.25">
      <c r="A348" s="21" t="s">
        <v>875</v>
      </c>
      <c r="B348" s="22" t="s">
        <v>876</v>
      </c>
      <c r="C348" s="21"/>
      <c r="N348" t="str">
        <f>IF($B$1="","",IF(ISNUMBER(SEARCH($B$1,$A348&amp;" "&amp;$B348)),MAX($N$3:N347)+1,""))</f>
        <v/>
      </c>
    </row>
    <row r="349" spans="1:14" x14ac:dyDescent="0.25">
      <c r="A349" s="21" t="s">
        <v>877</v>
      </c>
      <c r="B349" s="22" t="s">
        <v>878</v>
      </c>
      <c r="C349" s="21"/>
      <c r="N349" t="str">
        <f>IF($B$1="","",IF(ISNUMBER(SEARCH($B$1,$A349&amp;" "&amp;$B349)),MAX($N$3:N348)+1,""))</f>
        <v/>
      </c>
    </row>
    <row r="350" spans="1:14" x14ac:dyDescent="0.25">
      <c r="A350" s="21" t="s">
        <v>879</v>
      </c>
      <c r="B350" s="22" t="s">
        <v>880</v>
      </c>
      <c r="C350" s="21"/>
      <c r="N350" t="str">
        <f>IF($B$1="","",IF(ISNUMBER(SEARCH($B$1,$A350&amp;" "&amp;$B350)),MAX($N$3:N349)+1,""))</f>
        <v/>
      </c>
    </row>
    <row r="351" spans="1:14" x14ac:dyDescent="0.25">
      <c r="A351" s="21" t="s">
        <v>881</v>
      </c>
      <c r="B351" s="22" t="s">
        <v>882</v>
      </c>
      <c r="C351" s="21"/>
      <c r="N351" t="str">
        <f>IF($B$1="","",IF(ISNUMBER(SEARCH($B$1,$A351&amp;" "&amp;$B351)),MAX($N$3:N350)+1,""))</f>
        <v/>
      </c>
    </row>
    <row r="352" spans="1:14" x14ac:dyDescent="0.25">
      <c r="A352" s="21" t="s">
        <v>883</v>
      </c>
      <c r="B352" s="22" t="s">
        <v>884</v>
      </c>
      <c r="C352" s="21"/>
      <c r="N352" t="str">
        <f>IF($B$1="","",IF(ISNUMBER(SEARCH($B$1,$A352&amp;" "&amp;$B352)),MAX($N$3:N351)+1,""))</f>
        <v/>
      </c>
    </row>
    <row r="353" spans="1:14" x14ac:dyDescent="0.25">
      <c r="A353" s="21" t="s">
        <v>885</v>
      </c>
      <c r="B353" s="22" t="s">
        <v>886</v>
      </c>
      <c r="C353" s="21"/>
      <c r="N353" t="str">
        <f>IF($B$1="","",IF(ISNUMBER(SEARCH($B$1,$A353&amp;" "&amp;$B353)),MAX($N$3:N352)+1,""))</f>
        <v/>
      </c>
    </row>
    <row r="354" spans="1:14" x14ac:dyDescent="0.25">
      <c r="A354" s="21" t="s">
        <v>887</v>
      </c>
      <c r="B354" s="22" t="s">
        <v>888</v>
      </c>
      <c r="C354" s="21"/>
      <c r="N354" t="str">
        <f>IF($B$1="","",IF(ISNUMBER(SEARCH($B$1,$A354&amp;" "&amp;$B354)),MAX($N$3:N353)+1,""))</f>
        <v/>
      </c>
    </row>
    <row r="355" spans="1:14" x14ac:dyDescent="0.25">
      <c r="A355" s="21" t="s">
        <v>889</v>
      </c>
      <c r="B355" s="22" t="s">
        <v>890</v>
      </c>
      <c r="C355" s="21"/>
      <c r="N355" t="str">
        <f>IF($B$1="","",IF(ISNUMBER(SEARCH($B$1,$A355&amp;" "&amp;$B355)),MAX($N$3:N354)+1,""))</f>
        <v/>
      </c>
    </row>
    <row r="356" spans="1:14" x14ac:dyDescent="0.25">
      <c r="A356" s="21" t="s">
        <v>891</v>
      </c>
      <c r="B356" s="22" t="s">
        <v>892</v>
      </c>
      <c r="C356" s="21"/>
      <c r="N356" t="str">
        <f>IF($B$1="","",IF(ISNUMBER(SEARCH($B$1,$A356&amp;" "&amp;$B356)),MAX($N$3:N355)+1,""))</f>
        <v/>
      </c>
    </row>
    <row r="357" spans="1:14" x14ac:dyDescent="0.25">
      <c r="A357" s="21" t="s">
        <v>893</v>
      </c>
      <c r="B357" s="22" t="s">
        <v>894</v>
      </c>
      <c r="C357" s="21"/>
      <c r="N357" t="str">
        <f>IF($B$1="","",IF(ISNUMBER(SEARCH($B$1,$A357&amp;" "&amp;$B357)),MAX($N$3:N356)+1,""))</f>
        <v/>
      </c>
    </row>
    <row r="358" spans="1:14" x14ac:dyDescent="0.25">
      <c r="A358" s="21" t="s">
        <v>895</v>
      </c>
      <c r="B358" s="22" t="s">
        <v>896</v>
      </c>
      <c r="C358" s="21"/>
      <c r="N358" t="str">
        <f>IF($B$1="","",IF(ISNUMBER(SEARCH($B$1,$A358&amp;" "&amp;$B358)),MAX($N$3:N357)+1,""))</f>
        <v/>
      </c>
    </row>
    <row r="359" spans="1:14" x14ac:dyDescent="0.25">
      <c r="A359" s="21" t="s">
        <v>897</v>
      </c>
      <c r="B359" s="22" t="s">
        <v>898</v>
      </c>
      <c r="C359" s="21"/>
      <c r="N359" t="str">
        <f>IF($B$1="","",IF(ISNUMBER(SEARCH($B$1,$A359&amp;" "&amp;$B359)),MAX($N$3:N358)+1,""))</f>
        <v/>
      </c>
    </row>
    <row r="360" spans="1:14" x14ac:dyDescent="0.25">
      <c r="A360" s="21" t="s">
        <v>899</v>
      </c>
      <c r="B360" s="22" t="s">
        <v>900</v>
      </c>
      <c r="C360" s="21"/>
      <c r="N360" t="str">
        <f>IF($B$1="","",IF(ISNUMBER(SEARCH($B$1,$A360&amp;" "&amp;$B360)),MAX($N$3:N359)+1,""))</f>
        <v/>
      </c>
    </row>
    <row r="361" spans="1:14" x14ac:dyDescent="0.25">
      <c r="A361" s="21" t="s">
        <v>901</v>
      </c>
      <c r="B361" s="22" t="s">
        <v>902</v>
      </c>
      <c r="C361" s="21"/>
      <c r="N361" t="str">
        <f>IF($B$1="","",IF(ISNUMBER(SEARCH($B$1,$A361&amp;" "&amp;$B361)),MAX($N$3:N360)+1,""))</f>
        <v/>
      </c>
    </row>
    <row r="362" spans="1:14" x14ac:dyDescent="0.25">
      <c r="A362" s="21" t="s">
        <v>903</v>
      </c>
      <c r="B362" s="22" t="s">
        <v>904</v>
      </c>
      <c r="C362" s="21"/>
      <c r="N362" t="str">
        <f>IF($B$1="","",IF(ISNUMBER(SEARCH($B$1,$A362&amp;" "&amp;$B362)),MAX($N$3:N361)+1,""))</f>
        <v/>
      </c>
    </row>
    <row r="363" spans="1:14" x14ac:dyDescent="0.25">
      <c r="A363" s="21" t="s">
        <v>905</v>
      </c>
      <c r="B363" s="22" t="s">
        <v>906</v>
      </c>
      <c r="C363" s="21"/>
      <c r="N363" t="str">
        <f>IF($B$1="","",IF(ISNUMBER(SEARCH($B$1,$A363&amp;" "&amp;$B363)),MAX($N$3:N362)+1,""))</f>
        <v/>
      </c>
    </row>
    <row r="364" spans="1:14" x14ac:dyDescent="0.25">
      <c r="A364" s="21" t="s">
        <v>907</v>
      </c>
      <c r="B364" s="22" t="s">
        <v>908</v>
      </c>
      <c r="C364" s="21"/>
      <c r="N364" t="str">
        <f>IF($B$1="","",IF(ISNUMBER(SEARCH($B$1,$A364&amp;" "&amp;$B364)),MAX($N$3:N363)+1,""))</f>
        <v/>
      </c>
    </row>
    <row r="365" spans="1:14" x14ac:dyDescent="0.25">
      <c r="A365" s="21" t="s">
        <v>909</v>
      </c>
      <c r="B365" s="22" t="s">
        <v>910</v>
      </c>
      <c r="C365" s="21"/>
      <c r="N365" t="str">
        <f>IF($B$1="","",IF(ISNUMBER(SEARCH($B$1,$A365&amp;" "&amp;$B365)),MAX($N$3:N364)+1,""))</f>
        <v/>
      </c>
    </row>
    <row r="366" spans="1:14" x14ac:dyDescent="0.25">
      <c r="A366" s="21" t="s">
        <v>911</v>
      </c>
      <c r="B366" s="22" t="s">
        <v>912</v>
      </c>
      <c r="C366" s="21"/>
      <c r="N366" t="str">
        <f>IF($B$1="","",IF(ISNUMBER(SEARCH($B$1,$A366&amp;" "&amp;$B366)),MAX($N$3:N365)+1,""))</f>
        <v/>
      </c>
    </row>
    <row r="367" spans="1:14" x14ac:dyDescent="0.25">
      <c r="A367" s="21" t="s">
        <v>913</v>
      </c>
      <c r="B367" s="22" t="s">
        <v>914</v>
      </c>
      <c r="C367" s="21"/>
      <c r="N367" t="str">
        <f>IF($B$1="","",IF(ISNUMBER(SEARCH($B$1,$A367&amp;" "&amp;$B367)),MAX($N$3:N366)+1,""))</f>
        <v/>
      </c>
    </row>
    <row r="368" spans="1:14" x14ac:dyDescent="0.25">
      <c r="A368" s="21" t="s">
        <v>915</v>
      </c>
      <c r="B368" s="22" t="s">
        <v>916</v>
      </c>
      <c r="C368" s="21"/>
      <c r="N368" t="str">
        <f>IF($B$1="","",IF(ISNUMBER(SEARCH($B$1,$A368&amp;" "&amp;$B368)),MAX($N$3:N367)+1,""))</f>
        <v/>
      </c>
    </row>
    <row r="369" spans="1:14" x14ac:dyDescent="0.25">
      <c r="A369" s="21" t="s">
        <v>917</v>
      </c>
      <c r="B369" s="22" t="s">
        <v>918</v>
      </c>
      <c r="C369" s="21"/>
      <c r="N369" t="str">
        <f>IF($B$1="","",IF(ISNUMBER(SEARCH($B$1,$A369&amp;" "&amp;$B369)),MAX($N$3:N368)+1,""))</f>
        <v/>
      </c>
    </row>
    <row r="370" spans="1:14" x14ac:dyDescent="0.25">
      <c r="A370" s="21" t="s">
        <v>919</v>
      </c>
      <c r="B370" s="22" t="s">
        <v>920</v>
      </c>
      <c r="C370" s="21"/>
      <c r="N370" t="str">
        <f>IF($B$1="","",IF(ISNUMBER(SEARCH($B$1,$A370&amp;" "&amp;$B370)),MAX($N$3:N369)+1,""))</f>
        <v/>
      </c>
    </row>
    <row r="371" spans="1:14" x14ac:dyDescent="0.25">
      <c r="A371" s="21" t="s">
        <v>921</v>
      </c>
      <c r="B371" s="22" t="s">
        <v>922</v>
      </c>
      <c r="C371" s="21"/>
      <c r="N371" t="str">
        <f>IF($B$1="","",IF(ISNUMBER(SEARCH($B$1,$A371&amp;" "&amp;$B371)),MAX($N$3:N370)+1,""))</f>
        <v/>
      </c>
    </row>
    <row r="372" spans="1:14" x14ac:dyDescent="0.25">
      <c r="A372" s="21" t="s">
        <v>923</v>
      </c>
      <c r="B372" s="22" t="s">
        <v>924</v>
      </c>
      <c r="C372" s="21"/>
      <c r="N372" t="str">
        <f>IF($B$1="","",IF(ISNUMBER(SEARCH($B$1,$A372&amp;" "&amp;$B372)),MAX($N$3:N371)+1,""))</f>
        <v/>
      </c>
    </row>
    <row r="373" spans="1:14" x14ac:dyDescent="0.25">
      <c r="A373" s="21" t="s">
        <v>925</v>
      </c>
      <c r="B373" s="22" t="s">
        <v>926</v>
      </c>
      <c r="C373" s="21"/>
      <c r="N373" t="str">
        <f>IF($B$1="","",IF(ISNUMBER(SEARCH($B$1,$A373&amp;" "&amp;$B373)),MAX($N$3:N372)+1,""))</f>
        <v/>
      </c>
    </row>
    <row r="374" spans="1:14" x14ac:dyDescent="0.25">
      <c r="A374" s="21" t="s">
        <v>927</v>
      </c>
      <c r="B374" s="22" t="s">
        <v>928</v>
      </c>
      <c r="C374" s="21"/>
      <c r="N374" t="str">
        <f>IF($B$1="","",IF(ISNUMBER(SEARCH($B$1,$A374&amp;" "&amp;$B374)),MAX($N$3:N373)+1,""))</f>
        <v/>
      </c>
    </row>
    <row r="375" spans="1:14" x14ac:dyDescent="0.25">
      <c r="A375" s="21" t="s">
        <v>929</v>
      </c>
      <c r="B375" s="22" t="s">
        <v>930</v>
      </c>
      <c r="C375" s="21"/>
      <c r="N375" t="str">
        <f>IF($B$1="","",IF(ISNUMBER(SEARCH($B$1,$A375&amp;" "&amp;$B375)),MAX($N$3:N374)+1,""))</f>
        <v/>
      </c>
    </row>
    <row r="376" spans="1:14" x14ac:dyDescent="0.25">
      <c r="A376" s="21" t="s">
        <v>931</v>
      </c>
      <c r="B376" s="22" t="s">
        <v>932</v>
      </c>
      <c r="C376" s="21"/>
      <c r="N376" t="str">
        <f>IF($B$1="","",IF(ISNUMBER(SEARCH($B$1,$A376&amp;" "&amp;$B376)),MAX($N$3:N375)+1,""))</f>
        <v/>
      </c>
    </row>
    <row r="377" spans="1:14" x14ac:dyDescent="0.25">
      <c r="A377" s="21" t="s">
        <v>933</v>
      </c>
      <c r="B377" s="22" t="s">
        <v>934</v>
      </c>
      <c r="C377" s="21"/>
      <c r="N377" t="str">
        <f>IF($B$1="","",IF(ISNUMBER(SEARCH($B$1,$A377&amp;" "&amp;$B377)),MAX($N$3:N376)+1,""))</f>
        <v/>
      </c>
    </row>
    <row r="378" spans="1:14" x14ac:dyDescent="0.25">
      <c r="A378" s="21" t="s">
        <v>935</v>
      </c>
      <c r="B378" s="22" t="s">
        <v>936</v>
      </c>
      <c r="C378" s="21"/>
      <c r="N378" t="str">
        <f>IF($B$1="","",IF(ISNUMBER(SEARCH($B$1,$A378&amp;" "&amp;$B378)),MAX($N$3:N377)+1,""))</f>
        <v/>
      </c>
    </row>
    <row r="379" spans="1:14" x14ac:dyDescent="0.25">
      <c r="A379" s="21" t="s">
        <v>937</v>
      </c>
      <c r="B379" s="22" t="s">
        <v>938</v>
      </c>
      <c r="C379" s="21"/>
      <c r="N379" t="str">
        <f>IF($B$1="","",IF(ISNUMBER(SEARCH($B$1,$A379&amp;" "&amp;$B379)),MAX($N$3:N378)+1,""))</f>
        <v/>
      </c>
    </row>
    <row r="380" spans="1:14" x14ac:dyDescent="0.25">
      <c r="A380" s="21" t="s">
        <v>939</v>
      </c>
      <c r="B380" s="22" t="s">
        <v>940</v>
      </c>
      <c r="C380" s="21"/>
      <c r="N380" t="str">
        <f>IF($B$1="","",IF(ISNUMBER(SEARCH($B$1,$A380&amp;" "&amp;$B380)),MAX($N$3:N379)+1,""))</f>
        <v/>
      </c>
    </row>
    <row r="381" spans="1:14" x14ac:dyDescent="0.25">
      <c r="A381" s="21" t="s">
        <v>941</v>
      </c>
      <c r="B381" s="22" t="s">
        <v>942</v>
      </c>
      <c r="C381" s="21"/>
      <c r="N381" t="str">
        <f>IF($B$1="","",IF(ISNUMBER(SEARCH($B$1,$A381&amp;" "&amp;$B381)),MAX($N$3:N380)+1,""))</f>
        <v/>
      </c>
    </row>
    <row r="382" spans="1:14" x14ac:dyDescent="0.25">
      <c r="A382" s="21" t="s">
        <v>943</v>
      </c>
      <c r="B382" s="22" t="s">
        <v>944</v>
      </c>
      <c r="C382" s="21"/>
      <c r="N382" t="str">
        <f>IF($B$1="","",IF(ISNUMBER(SEARCH($B$1,$A382&amp;" "&amp;$B382)),MAX($N$3:N381)+1,""))</f>
        <v/>
      </c>
    </row>
    <row r="383" spans="1:14" x14ac:dyDescent="0.25">
      <c r="A383" s="21" t="s">
        <v>945</v>
      </c>
      <c r="B383" s="22" t="s">
        <v>946</v>
      </c>
      <c r="C383" s="21"/>
      <c r="N383" t="str">
        <f>IF($B$1="","",IF(ISNUMBER(SEARCH($B$1,$A383&amp;" "&amp;$B383)),MAX($N$3:N382)+1,""))</f>
        <v/>
      </c>
    </row>
    <row r="384" spans="1:14" x14ac:dyDescent="0.25">
      <c r="A384" s="21" t="s">
        <v>947</v>
      </c>
      <c r="B384" s="22" t="s">
        <v>948</v>
      </c>
      <c r="C384" s="21"/>
      <c r="N384" t="str">
        <f>IF($B$1="","",IF(ISNUMBER(SEARCH($B$1,$A384&amp;" "&amp;$B384)),MAX($N$3:N383)+1,""))</f>
        <v/>
      </c>
    </row>
    <row r="385" spans="1:14" x14ac:dyDescent="0.25">
      <c r="A385" s="21" t="s">
        <v>949</v>
      </c>
      <c r="B385" s="22" t="s">
        <v>950</v>
      </c>
      <c r="C385" s="21"/>
      <c r="N385" t="str">
        <f>IF($B$1="","",IF(ISNUMBER(SEARCH($B$1,$A385&amp;" "&amp;$B385)),MAX($N$3:N384)+1,""))</f>
        <v/>
      </c>
    </row>
    <row r="386" spans="1:14" x14ac:dyDescent="0.25">
      <c r="A386" s="21" t="s">
        <v>951</v>
      </c>
      <c r="B386" s="22" t="s">
        <v>952</v>
      </c>
      <c r="C386" s="21"/>
      <c r="N386" t="str">
        <f>IF($B$1="","",IF(ISNUMBER(SEARCH($B$1,$A386&amp;" "&amp;$B386)),MAX($N$3:N385)+1,""))</f>
        <v/>
      </c>
    </row>
    <row r="387" spans="1:14" x14ac:dyDescent="0.25">
      <c r="A387" s="21" t="s">
        <v>953</v>
      </c>
      <c r="B387" s="22" t="s">
        <v>954</v>
      </c>
      <c r="C387" s="21"/>
      <c r="N387" t="str">
        <f>IF($B$1="","",IF(ISNUMBER(SEARCH($B$1,$A387&amp;" "&amp;$B387)),MAX($N$3:N386)+1,""))</f>
        <v/>
      </c>
    </row>
    <row r="388" spans="1:14" x14ac:dyDescent="0.25">
      <c r="A388" s="21" t="s">
        <v>955</v>
      </c>
      <c r="B388" s="22" t="s">
        <v>956</v>
      </c>
      <c r="C388" s="21"/>
      <c r="N388" t="str">
        <f>IF($B$1="","",IF(ISNUMBER(SEARCH($B$1,$A388&amp;" "&amp;$B388)),MAX($N$3:N387)+1,""))</f>
        <v/>
      </c>
    </row>
    <row r="389" spans="1:14" x14ac:dyDescent="0.25">
      <c r="A389" s="21" t="s">
        <v>957</v>
      </c>
      <c r="B389" s="22" t="s">
        <v>958</v>
      </c>
      <c r="C389" s="21"/>
      <c r="N389" t="str">
        <f>IF($B$1="","",IF(ISNUMBER(SEARCH($B$1,$A389&amp;" "&amp;$B389)),MAX($N$3:N388)+1,""))</f>
        <v/>
      </c>
    </row>
    <row r="390" spans="1:14" x14ac:dyDescent="0.25">
      <c r="A390" s="21" t="s">
        <v>959</v>
      </c>
      <c r="B390" s="22" t="s">
        <v>960</v>
      </c>
      <c r="C390" s="21"/>
      <c r="N390" t="str">
        <f>IF($B$1="","",IF(ISNUMBER(SEARCH($B$1,$A390&amp;" "&amp;$B390)),MAX($N$3:N389)+1,""))</f>
        <v/>
      </c>
    </row>
    <row r="391" spans="1:14" x14ac:dyDescent="0.25">
      <c r="A391" s="21" t="s">
        <v>961</v>
      </c>
      <c r="B391" s="22" t="s">
        <v>962</v>
      </c>
      <c r="C391" s="21"/>
      <c r="N391" t="str">
        <f>IF($B$1="","",IF(ISNUMBER(SEARCH($B$1,$A391&amp;" "&amp;$B391)),MAX($N$3:N390)+1,""))</f>
        <v/>
      </c>
    </row>
    <row r="392" spans="1:14" x14ac:dyDescent="0.25">
      <c r="A392" s="21" t="s">
        <v>963</v>
      </c>
      <c r="B392" s="22" t="s">
        <v>964</v>
      </c>
      <c r="C392" s="21"/>
      <c r="N392" t="str">
        <f>IF($B$1="","",IF(ISNUMBER(SEARCH($B$1,$A392&amp;" "&amp;$B392)),MAX($N$3:N391)+1,""))</f>
        <v/>
      </c>
    </row>
    <row r="393" spans="1:14" x14ac:dyDescent="0.25">
      <c r="A393" s="21" t="s">
        <v>965</v>
      </c>
      <c r="B393" s="22" t="s">
        <v>966</v>
      </c>
      <c r="C393" s="21"/>
      <c r="N393" t="str">
        <f>IF($B$1="","",IF(ISNUMBER(SEARCH($B$1,$A393&amp;" "&amp;$B393)),MAX($N$3:N392)+1,""))</f>
        <v/>
      </c>
    </row>
    <row r="394" spans="1:14" x14ac:dyDescent="0.25">
      <c r="A394" s="21" t="s">
        <v>967</v>
      </c>
      <c r="B394" s="22" t="s">
        <v>968</v>
      </c>
      <c r="C394" s="21"/>
      <c r="N394" t="str">
        <f>IF($B$1="","",IF(ISNUMBER(SEARCH($B$1,$A394&amp;" "&amp;$B394)),MAX($N$3:N393)+1,""))</f>
        <v/>
      </c>
    </row>
    <row r="395" spans="1:14" x14ac:dyDescent="0.25">
      <c r="A395" s="21" t="s">
        <v>969</v>
      </c>
      <c r="B395" s="22" t="s">
        <v>970</v>
      </c>
      <c r="C395" s="21"/>
      <c r="N395" t="str">
        <f>IF($B$1="","",IF(ISNUMBER(SEARCH($B$1,$A395&amp;" "&amp;$B395)),MAX($N$3:N394)+1,""))</f>
        <v/>
      </c>
    </row>
    <row r="396" spans="1:14" x14ac:dyDescent="0.25">
      <c r="A396" s="21" t="s">
        <v>971</v>
      </c>
      <c r="B396" s="22" t="s">
        <v>972</v>
      </c>
      <c r="C396" s="21"/>
      <c r="N396" t="str">
        <f>IF($B$1="","",IF(ISNUMBER(SEARCH($B$1,$A396&amp;" "&amp;$B396)),MAX($N$3:N395)+1,""))</f>
        <v/>
      </c>
    </row>
    <row r="397" spans="1:14" x14ac:dyDescent="0.25">
      <c r="A397" s="21" t="s">
        <v>973</v>
      </c>
      <c r="B397" s="22" t="s">
        <v>974</v>
      </c>
      <c r="C397" s="21"/>
      <c r="N397" t="str">
        <f>IF($B$1="","",IF(ISNUMBER(SEARCH($B$1,$A397&amp;" "&amp;$B397)),MAX($N$3:N396)+1,""))</f>
        <v/>
      </c>
    </row>
    <row r="398" spans="1:14" x14ac:dyDescent="0.25">
      <c r="A398" s="21" t="s">
        <v>975</v>
      </c>
      <c r="B398" s="22" t="s">
        <v>976</v>
      </c>
      <c r="C398" s="21"/>
      <c r="N398" t="str">
        <f>IF($B$1="","",IF(ISNUMBER(SEARCH($B$1,$A398&amp;" "&amp;$B398)),MAX($N$3:N397)+1,""))</f>
        <v/>
      </c>
    </row>
    <row r="399" spans="1:14" x14ac:dyDescent="0.25">
      <c r="A399" s="21" t="s">
        <v>977</v>
      </c>
      <c r="B399" s="22" t="s">
        <v>978</v>
      </c>
      <c r="C399" s="21"/>
      <c r="N399" t="str">
        <f>IF($B$1="","",IF(ISNUMBER(SEARCH($B$1,$A399&amp;" "&amp;$B399)),MAX($N$3:N398)+1,""))</f>
        <v/>
      </c>
    </row>
    <row r="400" spans="1:14" x14ac:dyDescent="0.25">
      <c r="A400" s="21" t="s">
        <v>979</v>
      </c>
      <c r="B400" s="22" t="s">
        <v>980</v>
      </c>
      <c r="C400" s="21"/>
      <c r="N400" t="str">
        <f>IF($B$1="","",IF(ISNUMBER(SEARCH($B$1,$A400&amp;" "&amp;$B400)),MAX($N$3:N399)+1,""))</f>
        <v/>
      </c>
    </row>
    <row r="401" spans="1:14" x14ac:dyDescent="0.25">
      <c r="A401" s="21" t="s">
        <v>981</v>
      </c>
      <c r="B401" s="22" t="s">
        <v>982</v>
      </c>
      <c r="C401" s="21"/>
      <c r="N401" t="str">
        <f>IF($B$1="","",IF(ISNUMBER(SEARCH($B$1,$A401&amp;" "&amp;$B401)),MAX($N$3:N400)+1,""))</f>
        <v/>
      </c>
    </row>
    <row r="402" spans="1:14" x14ac:dyDescent="0.25">
      <c r="A402" s="21" t="s">
        <v>983</v>
      </c>
      <c r="B402" s="22" t="s">
        <v>984</v>
      </c>
      <c r="C402" s="21"/>
      <c r="N402" t="str">
        <f>IF($B$1="","",IF(ISNUMBER(SEARCH($B$1,$A402&amp;" "&amp;$B402)),MAX($N$3:N401)+1,""))</f>
        <v/>
      </c>
    </row>
    <row r="403" spans="1:14" x14ac:dyDescent="0.25">
      <c r="A403" s="21" t="s">
        <v>985</v>
      </c>
      <c r="B403" s="22" t="s">
        <v>25</v>
      </c>
      <c r="C403" s="21"/>
      <c r="N403" t="str">
        <f>IF($B$1="","",IF(ISNUMBER(SEARCH($B$1,$A403&amp;" "&amp;$B403)),MAX($N$3:N402)+1,""))</f>
        <v/>
      </c>
    </row>
    <row r="404" spans="1:14" x14ac:dyDescent="0.25">
      <c r="A404" s="21" t="s">
        <v>105</v>
      </c>
      <c r="B404" s="22" t="s">
        <v>12</v>
      </c>
      <c r="C404" s="21"/>
      <c r="N404" t="str">
        <f>IF($B$1="","",IF(ISNUMBER(SEARCH($B$1,$A404&amp;" "&amp;$B404)),MAX($N$3:N403)+1,""))</f>
        <v/>
      </c>
    </row>
    <row r="405" spans="1:14" x14ac:dyDescent="0.25">
      <c r="A405" s="21" t="s">
        <v>986</v>
      </c>
      <c r="B405" s="22" t="s">
        <v>987</v>
      </c>
      <c r="C405" s="21"/>
      <c r="N405" t="str">
        <f>IF($B$1="","",IF(ISNUMBER(SEARCH($B$1,$A405&amp;" "&amp;$B405)),MAX($N$3:N404)+1,""))</f>
        <v/>
      </c>
    </row>
    <row r="406" spans="1:14" x14ac:dyDescent="0.25">
      <c r="A406" s="21" t="s">
        <v>988</v>
      </c>
      <c r="B406" s="22" t="s">
        <v>989</v>
      </c>
      <c r="C406" s="21"/>
      <c r="N406" t="str">
        <f>IF($B$1="","",IF(ISNUMBER(SEARCH($B$1,$A406&amp;" "&amp;$B406)),MAX($N$3:N405)+1,""))</f>
        <v/>
      </c>
    </row>
    <row r="407" spans="1:14" x14ac:dyDescent="0.25">
      <c r="A407" s="21" t="s">
        <v>990</v>
      </c>
      <c r="B407" s="22" t="s">
        <v>991</v>
      </c>
      <c r="C407" s="21"/>
      <c r="N407" t="str">
        <f>IF($B$1="","",IF(ISNUMBER(SEARCH($B$1,$A407&amp;" "&amp;$B407)),MAX($N$3:N406)+1,""))</f>
        <v/>
      </c>
    </row>
    <row r="408" spans="1:14" x14ac:dyDescent="0.25">
      <c r="A408" s="21" t="s">
        <v>992</v>
      </c>
      <c r="B408" s="22" t="s">
        <v>993</v>
      </c>
      <c r="C408" s="21"/>
      <c r="N408" t="str">
        <f>IF($B$1="","",IF(ISNUMBER(SEARCH($B$1,$A408&amp;" "&amp;$B408)),MAX($N$3:N407)+1,""))</f>
        <v/>
      </c>
    </row>
    <row r="409" spans="1:14" x14ac:dyDescent="0.25">
      <c r="A409" s="21" t="s">
        <v>994</v>
      </c>
      <c r="B409" s="22" t="s">
        <v>995</v>
      </c>
      <c r="C409" s="21"/>
      <c r="N409" t="str">
        <f>IF($B$1="","",IF(ISNUMBER(SEARCH($B$1,$A409&amp;" "&amp;$B409)),MAX($N$3:N408)+1,""))</f>
        <v/>
      </c>
    </row>
    <row r="410" spans="1:14" x14ac:dyDescent="0.25">
      <c r="A410" s="21" t="s">
        <v>996</v>
      </c>
      <c r="B410" s="22" t="s">
        <v>997</v>
      </c>
      <c r="C410" s="21"/>
      <c r="N410" t="str">
        <f>IF($B$1="","",IF(ISNUMBER(SEARCH($B$1,$A410&amp;" "&amp;$B410)),MAX($N$3:N409)+1,""))</f>
        <v/>
      </c>
    </row>
    <row r="411" spans="1:14" x14ac:dyDescent="0.25">
      <c r="A411" s="21" t="s">
        <v>998</v>
      </c>
      <c r="B411" s="22" t="s">
        <v>999</v>
      </c>
      <c r="C411" s="21"/>
      <c r="N411" t="str">
        <f>IF($B$1="","",IF(ISNUMBER(SEARCH($B$1,$A411&amp;" "&amp;$B411)),MAX($N$3:N410)+1,""))</f>
        <v/>
      </c>
    </row>
    <row r="412" spans="1:14" x14ac:dyDescent="0.25">
      <c r="A412" s="21" t="s">
        <v>1000</v>
      </c>
      <c r="B412" s="22" t="s">
        <v>1001</v>
      </c>
      <c r="C412" s="21"/>
      <c r="N412" t="str">
        <f>IF($B$1="","",IF(ISNUMBER(SEARCH($B$1,$A412&amp;" "&amp;$B412)),MAX($N$3:N411)+1,""))</f>
        <v/>
      </c>
    </row>
    <row r="413" spans="1:14" x14ac:dyDescent="0.25">
      <c r="A413" s="21" t="s">
        <v>1002</v>
      </c>
      <c r="B413" s="22" t="s">
        <v>1003</v>
      </c>
      <c r="C413" s="21"/>
      <c r="N413" t="str">
        <f>IF($B$1="","",IF(ISNUMBER(SEARCH($B$1,$A413&amp;" "&amp;$B413)),MAX($N$3:N412)+1,""))</f>
        <v/>
      </c>
    </row>
    <row r="414" spans="1:14" x14ac:dyDescent="0.25">
      <c r="A414" s="21" t="s">
        <v>1004</v>
      </c>
      <c r="B414" s="22" t="s">
        <v>1005</v>
      </c>
      <c r="C414" s="21"/>
      <c r="N414" t="str">
        <f>IF($B$1="","",IF(ISNUMBER(SEARCH($B$1,$A414&amp;" "&amp;$B414)),MAX($N$3:N413)+1,""))</f>
        <v/>
      </c>
    </row>
    <row r="415" spans="1:14" x14ac:dyDescent="0.25">
      <c r="A415" s="21" t="s">
        <v>1006</v>
      </c>
      <c r="B415" s="22" t="s">
        <v>1007</v>
      </c>
      <c r="C415" s="21"/>
      <c r="N415" t="str">
        <f>IF($B$1="","",IF(ISNUMBER(SEARCH($B$1,$A415&amp;" "&amp;$B415)),MAX($N$3:N414)+1,""))</f>
        <v/>
      </c>
    </row>
    <row r="416" spans="1:14" x14ac:dyDescent="0.25">
      <c r="A416" s="21" t="s">
        <v>1008</v>
      </c>
      <c r="B416" s="22" t="s">
        <v>1009</v>
      </c>
      <c r="C416" s="21"/>
      <c r="N416" t="str">
        <f>IF($B$1="","",IF(ISNUMBER(SEARCH($B$1,$A416&amp;" "&amp;$B416)),MAX($N$3:N415)+1,""))</f>
        <v/>
      </c>
    </row>
    <row r="417" spans="1:14" x14ac:dyDescent="0.25">
      <c r="A417" s="21" t="s">
        <v>1010</v>
      </c>
      <c r="B417" s="22" t="s">
        <v>1011</v>
      </c>
      <c r="C417" s="21"/>
      <c r="N417" t="str">
        <f>IF($B$1="","",IF(ISNUMBER(SEARCH($B$1,$A417&amp;" "&amp;$B417)),MAX($N$3:N416)+1,""))</f>
        <v/>
      </c>
    </row>
    <row r="418" spans="1:14" x14ac:dyDescent="0.25">
      <c r="A418" s="21" t="s">
        <v>1012</v>
      </c>
      <c r="B418" s="22" t="s">
        <v>1013</v>
      </c>
      <c r="C418" s="21"/>
      <c r="N418" t="str">
        <f>IF($B$1="","",IF(ISNUMBER(SEARCH($B$1,$A418&amp;" "&amp;$B418)),MAX($N$3:N417)+1,""))</f>
        <v/>
      </c>
    </row>
    <row r="419" spans="1:14" x14ac:dyDescent="0.25">
      <c r="A419" s="21" t="s">
        <v>1014</v>
      </c>
      <c r="B419" s="22" t="s">
        <v>1015</v>
      </c>
      <c r="C419" s="21"/>
      <c r="N419" t="str">
        <f>IF($B$1="","",IF(ISNUMBER(SEARCH($B$1,$A419&amp;" "&amp;$B419)),MAX($N$3:N418)+1,""))</f>
        <v/>
      </c>
    </row>
    <row r="420" spans="1:14" x14ac:dyDescent="0.25">
      <c r="A420" s="21" t="s">
        <v>1016</v>
      </c>
      <c r="B420" s="22" t="s">
        <v>1017</v>
      </c>
      <c r="C420" s="21"/>
      <c r="N420" t="str">
        <f>IF($B$1="","",IF(ISNUMBER(SEARCH($B$1,$A420&amp;" "&amp;$B420)),MAX($N$3:N419)+1,""))</f>
        <v/>
      </c>
    </row>
    <row r="421" spans="1:14" x14ac:dyDescent="0.25">
      <c r="A421" s="21" t="s">
        <v>1018</v>
      </c>
      <c r="B421" s="22" t="s">
        <v>55</v>
      </c>
      <c r="C421" s="21"/>
      <c r="N421" t="str">
        <f>IF($B$1="","",IF(ISNUMBER(SEARCH($B$1,$A421&amp;" "&amp;$B421)),MAX($N$3:N420)+1,""))</f>
        <v/>
      </c>
    </row>
    <row r="422" spans="1:14" x14ac:dyDescent="0.25">
      <c r="A422" s="21" t="s">
        <v>1019</v>
      </c>
      <c r="B422" s="22" t="s">
        <v>1020</v>
      </c>
      <c r="C422" s="21"/>
      <c r="N422" t="str">
        <f>IF($B$1="","",IF(ISNUMBER(SEARCH($B$1,$A422&amp;" "&amp;$B422)),MAX($N$3:N421)+1,""))</f>
        <v/>
      </c>
    </row>
    <row r="423" spans="1:14" x14ac:dyDescent="0.25">
      <c r="A423" s="21" t="s">
        <v>1021</v>
      </c>
      <c r="B423" s="22" t="s">
        <v>1022</v>
      </c>
      <c r="C423" s="21"/>
      <c r="N423" t="str">
        <f>IF($B$1="","",IF(ISNUMBER(SEARCH($B$1,$A423&amp;" "&amp;$B423)),MAX($N$3:N422)+1,""))</f>
        <v/>
      </c>
    </row>
    <row r="424" spans="1:14" x14ac:dyDescent="0.25">
      <c r="A424" s="21" t="s">
        <v>1023</v>
      </c>
      <c r="B424" s="22" t="s">
        <v>1024</v>
      </c>
      <c r="C424" s="21"/>
      <c r="N424" t="str">
        <f>IF($B$1="","",IF(ISNUMBER(SEARCH($B$1,$A424&amp;" "&amp;$B424)),MAX($N$3:N423)+1,""))</f>
        <v/>
      </c>
    </row>
    <row r="425" spans="1:14" x14ac:dyDescent="0.25">
      <c r="A425" s="21" t="s">
        <v>1025</v>
      </c>
      <c r="B425" s="22" t="s">
        <v>1026</v>
      </c>
      <c r="C425" s="21"/>
      <c r="N425" t="str">
        <f>IF($B$1="","",IF(ISNUMBER(SEARCH($B$1,$A425&amp;" "&amp;$B425)),MAX($N$3:N424)+1,""))</f>
        <v/>
      </c>
    </row>
    <row r="426" spans="1:14" x14ac:dyDescent="0.25">
      <c r="A426" s="21" t="s">
        <v>1027</v>
      </c>
      <c r="B426" s="22" t="s">
        <v>1028</v>
      </c>
      <c r="C426" s="21"/>
      <c r="N426" t="str">
        <f>IF($B$1="","",IF(ISNUMBER(SEARCH($B$1,$A426&amp;" "&amp;$B426)),MAX($N$3:N425)+1,""))</f>
        <v/>
      </c>
    </row>
    <row r="427" spans="1:14" x14ac:dyDescent="0.25">
      <c r="A427" s="21" t="s">
        <v>1029</v>
      </c>
      <c r="B427" s="22" t="s">
        <v>1030</v>
      </c>
      <c r="C427" s="21"/>
      <c r="N427" t="str">
        <f>IF($B$1="","",IF(ISNUMBER(SEARCH($B$1,$A427&amp;" "&amp;$B427)),MAX($N$3:N426)+1,""))</f>
        <v/>
      </c>
    </row>
    <row r="428" spans="1:14" x14ac:dyDescent="0.25">
      <c r="A428" s="21" t="s">
        <v>1031</v>
      </c>
      <c r="B428" s="22" t="s">
        <v>1032</v>
      </c>
      <c r="C428" s="21"/>
      <c r="N428" t="str">
        <f>IF($B$1="","",IF(ISNUMBER(SEARCH($B$1,$A428&amp;" "&amp;$B428)),MAX($N$3:N427)+1,""))</f>
        <v/>
      </c>
    </row>
    <row r="429" spans="1:14" x14ac:dyDescent="0.25">
      <c r="A429" s="21" t="s">
        <v>1033</v>
      </c>
      <c r="B429" s="22" t="s">
        <v>1034</v>
      </c>
      <c r="C429" s="21"/>
      <c r="N429" t="str">
        <f>IF($B$1="","",IF(ISNUMBER(SEARCH($B$1,$A429&amp;" "&amp;$B429)),MAX($N$3:N428)+1,""))</f>
        <v/>
      </c>
    </row>
    <row r="430" spans="1:14" x14ac:dyDescent="0.25">
      <c r="A430" s="21" t="s">
        <v>1035</v>
      </c>
      <c r="B430" s="22" t="s">
        <v>1036</v>
      </c>
      <c r="C430" s="21"/>
      <c r="N430" t="str">
        <f>IF($B$1="","",IF(ISNUMBER(SEARCH($B$1,$A430&amp;" "&amp;$B430)),MAX($N$3:N429)+1,""))</f>
        <v/>
      </c>
    </row>
    <row r="431" spans="1:14" x14ac:dyDescent="0.25">
      <c r="A431" s="21" t="s">
        <v>1037</v>
      </c>
      <c r="B431" s="22" t="s">
        <v>1038</v>
      </c>
      <c r="C431" s="21"/>
      <c r="N431" t="str">
        <f>IF($B$1="","",IF(ISNUMBER(SEARCH($B$1,$A431&amp;" "&amp;$B431)),MAX($N$3:N430)+1,""))</f>
        <v/>
      </c>
    </row>
    <row r="432" spans="1:14" x14ac:dyDescent="0.25">
      <c r="A432" s="21" t="s">
        <v>1039</v>
      </c>
      <c r="B432" s="22" t="s">
        <v>1040</v>
      </c>
      <c r="C432" s="21"/>
      <c r="N432" t="str">
        <f>IF($B$1="","",IF(ISNUMBER(SEARCH($B$1,$A432&amp;" "&amp;$B432)),MAX($N$3:N431)+1,""))</f>
        <v/>
      </c>
    </row>
    <row r="433" spans="1:14" x14ac:dyDescent="0.25">
      <c r="A433" s="21" t="s">
        <v>1041</v>
      </c>
      <c r="B433" s="22" t="s">
        <v>1042</v>
      </c>
      <c r="C433" s="21"/>
      <c r="N433" t="str">
        <f>IF($B$1="","",IF(ISNUMBER(SEARCH($B$1,$A433&amp;" "&amp;$B433)),MAX($N$3:N432)+1,""))</f>
        <v/>
      </c>
    </row>
    <row r="434" spans="1:14" x14ac:dyDescent="0.25">
      <c r="A434" s="21" t="s">
        <v>1043</v>
      </c>
      <c r="B434" s="22" t="s">
        <v>1044</v>
      </c>
      <c r="C434" s="21"/>
      <c r="N434" t="str">
        <f>IF($B$1="","",IF(ISNUMBER(SEARCH($B$1,$A434&amp;" "&amp;$B434)),MAX($N$3:N433)+1,""))</f>
        <v/>
      </c>
    </row>
    <row r="435" spans="1:14" x14ac:dyDescent="0.25">
      <c r="A435" s="21" t="s">
        <v>1045</v>
      </c>
      <c r="B435" s="22" t="s">
        <v>1046</v>
      </c>
      <c r="C435" s="21"/>
      <c r="N435" t="str">
        <f>IF($B$1="","",IF(ISNUMBER(SEARCH($B$1,$A435&amp;" "&amp;$B435)),MAX($N$3:N434)+1,""))</f>
        <v/>
      </c>
    </row>
    <row r="436" spans="1:14" x14ac:dyDescent="0.25">
      <c r="A436" s="21" t="s">
        <v>1047</v>
      </c>
      <c r="B436" s="22" t="s">
        <v>1048</v>
      </c>
      <c r="C436" s="21"/>
      <c r="N436" t="str">
        <f>IF($B$1="","",IF(ISNUMBER(SEARCH($B$1,$A436&amp;" "&amp;$B436)),MAX($N$3:N435)+1,""))</f>
        <v/>
      </c>
    </row>
    <row r="437" spans="1:14" x14ac:dyDescent="0.25">
      <c r="A437" s="21" t="s">
        <v>1049</v>
      </c>
      <c r="B437" s="22" t="s">
        <v>1050</v>
      </c>
      <c r="C437" s="21"/>
      <c r="N437" t="str">
        <f>IF($B$1="","",IF(ISNUMBER(SEARCH($B$1,$A437&amp;" "&amp;$B437)),MAX($N$3:N436)+1,""))</f>
        <v/>
      </c>
    </row>
    <row r="438" spans="1:14" x14ac:dyDescent="0.25">
      <c r="A438" s="21" t="s">
        <v>1051</v>
      </c>
      <c r="B438" s="22" t="s">
        <v>1052</v>
      </c>
      <c r="C438" s="21"/>
      <c r="N438" t="str">
        <f>IF($B$1="","",IF(ISNUMBER(SEARCH($B$1,$A438&amp;" "&amp;$B438)),MAX($N$3:N437)+1,""))</f>
        <v/>
      </c>
    </row>
    <row r="439" spans="1:14" x14ac:dyDescent="0.25">
      <c r="A439" s="21" t="s">
        <v>1053</v>
      </c>
      <c r="B439" s="22" t="s">
        <v>1054</v>
      </c>
      <c r="C439" s="21"/>
      <c r="N439" t="str">
        <f>IF($B$1="","",IF(ISNUMBER(SEARCH($B$1,$A439&amp;" "&amp;$B439)),MAX($N$3:N438)+1,""))</f>
        <v/>
      </c>
    </row>
    <row r="440" spans="1:14" x14ac:dyDescent="0.25">
      <c r="A440" s="21" t="s">
        <v>1055</v>
      </c>
      <c r="B440" s="22" t="s">
        <v>1056</v>
      </c>
      <c r="C440" s="21"/>
      <c r="N440" t="str">
        <f>IF($B$1="","",IF(ISNUMBER(SEARCH($B$1,$A440&amp;" "&amp;$B440)),MAX($N$3:N439)+1,""))</f>
        <v/>
      </c>
    </row>
    <row r="441" spans="1:14" x14ac:dyDescent="0.25">
      <c r="A441" s="21" t="s">
        <v>1057</v>
      </c>
      <c r="B441" s="22" t="s">
        <v>1058</v>
      </c>
      <c r="C441" s="21"/>
      <c r="N441" t="str">
        <f>IF($B$1="","",IF(ISNUMBER(SEARCH($B$1,$A441&amp;" "&amp;$B441)),MAX($N$3:N440)+1,""))</f>
        <v/>
      </c>
    </row>
    <row r="442" spans="1:14" x14ac:dyDescent="0.25">
      <c r="A442" s="21" t="s">
        <v>1059</v>
      </c>
      <c r="B442" s="22" t="s">
        <v>1060</v>
      </c>
      <c r="C442" s="21"/>
      <c r="N442" t="str">
        <f>IF($B$1="","",IF(ISNUMBER(SEARCH($B$1,$A442&amp;" "&amp;$B442)),MAX($N$3:N441)+1,""))</f>
        <v/>
      </c>
    </row>
    <row r="443" spans="1:14" x14ac:dyDescent="0.25">
      <c r="A443" s="21" t="s">
        <v>1061</v>
      </c>
      <c r="B443" s="22" t="s">
        <v>1062</v>
      </c>
      <c r="C443" s="21"/>
      <c r="N443" t="str">
        <f>IF($B$1="","",IF(ISNUMBER(SEARCH($B$1,$A443&amp;" "&amp;$B443)),MAX($N$3:N442)+1,""))</f>
        <v/>
      </c>
    </row>
    <row r="444" spans="1:14" x14ac:dyDescent="0.25">
      <c r="A444" s="21" t="s">
        <v>1063</v>
      </c>
      <c r="B444" s="22" t="s">
        <v>1064</v>
      </c>
      <c r="C444" s="21"/>
      <c r="N444" t="str">
        <f>IF($B$1="","",IF(ISNUMBER(SEARCH($B$1,$A444&amp;" "&amp;$B444)),MAX($N$3:N443)+1,""))</f>
        <v/>
      </c>
    </row>
    <row r="445" spans="1:14" x14ac:dyDescent="0.25">
      <c r="A445" s="21" t="s">
        <v>1065</v>
      </c>
      <c r="B445" s="22" t="s">
        <v>1066</v>
      </c>
      <c r="C445" s="21"/>
      <c r="N445" t="str">
        <f>IF($B$1="","",IF(ISNUMBER(SEARCH($B$1,$A445&amp;" "&amp;$B445)),MAX($N$3:N444)+1,""))</f>
        <v/>
      </c>
    </row>
    <row r="446" spans="1:14" x14ac:dyDescent="0.25">
      <c r="A446" s="21" t="s">
        <v>1067</v>
      </c>
      <c r="B446" s="22" t="s">
        <v>1068</v>
      </c>
      <c r="C446" s="21"/>
      <c r="N446" t="str">
        <f>IF($B$1="","",IF(ISNUMBER(SEARCH($B$1,$A446&amp;" "&amp;$B446)),MAX($N$3:N445)+1,""))</f>
        <v/>
      </c>
    </row>
    <row r="447" spans="1:14" x14ac:dyDescent="0.25">
      <c r="A447" s="21" t="s">
        <v>1069</v>
      </c>
      <c r="B447" s="22" t="s">
        <v>1070</v>
      </c>
      <c r="C447" s="21"/>
      <c r="N447" t="str">
        <f>IF($B$1="","",IF(ISNUMBER(SEARCH($B$1,$A447&amp;" "&amp;$B447)),MAX($N$3:N446)+1,""))</f>
        <v/>
      </c>
    </row>
    <row r="448" spans="1:14" x14ac:dyDescent="0.25">
      <c r="A448" s="21" t="s">
        <v>1071</v>
      </c>
      <c r="B448" s="22" t="s">
        <v>1072</v>
      </c>
      <c r="C448" s="21"/>
      <c r="N448" t="str">
        <f>IF($B$1="","",IF(ISNUMBER(SEARCH($B$1,$A448&amp;" "&amp;$B448)),MAX($N$3:N447)+1,""))</f>
        <v/>
      </c>
    </row>
    <row r="449" spans="1:14" x14ac:dyDescent="0.25">
      <c r="A449" s="21" t="s">
        <v>1073</v>
      </c>
      <c r="B449" s="22" t="s">
        <v>1074</v>
      </c>
      <c r="C449" s="21"/>
      <c r="N449" t="str">
        <f>IF($B$1="","",IF(ISNUMBER(SEARCH($B$1,$A449&amp;" "&amp;$B449)),MAX($N$3:N448)+1,""))</f>
        <v/>
      </c>
    </row>
    <row r="450" spans="1:14" x14ac:dyDescent="0.25">
      <c r="A450" s="21" t="s">
        <v>1075</v>
      </c>
      <c r="B450" s="22" t="s">
        <v>1076</v>
      </c>
      <c r="C450" s="21"/>
      <c r="N450" t="str">
        <f>IF($B$1="","",IF(ISNUMBER(SEARCH($B$1,$A450&amp;" "&amp;$B450)),MAX($N$3:N449)+1,""))</f>
        <v/>
      </c>
    </row>
    <row r="451" spans="1:14" x14ac:dyDescent="0.25">
      <c r="A451" s="21" t="s">
        <v>1077</v>
      </c>
      <c r="B451" s="22" t="s">
        <v>1078</v>
      </c>
      <c r="C451" s="21"/>
      <c r="N451" t="str">
        <f>IF($B$1="","",IF(ISNUMBER(SEARCH($B$1,$A451&amp;" "&amp;$B451)),MAX($N$3:N450)+1,""))</f>
        <v/>
      </c>
    </row>
    <row r="452" spans="1:14" x14ac:dyDescent="0.25">
      <c r="A452" s="21" t="s">
        <v>1079</v>
      </c>
      <c r="B452" s="22" t="s">
        <v>1080</v>
      </c>
      <c r="C452" s="21"/>
      <c r="N452" t="str">
        <f>IF($B$1="","",IF(ISNUMBER(SEARCH($B$1,$A452&amp;" "&amp;$B452)),MAX($N$3:N451)+1,""))</f>
        <v/>
      </c>
    </row>
    <row r="453" spans="1:14" x14ac:dyDescent="0.25">
      <c r="A453" s="21" t="s">
        <v>1081</v>
      </c>
      <c r="B453" s="22" t="s">
        <v>1082</v>
      </c>
      <c r="C453" s="21"/>
      <c r="N453" t="str">
        <f>IF($B$1="","",IF(ISNUMBER(SEARCH($B$1,$A453&amp;" "&amp;$B453)),MAX($N$3:N452)+1,""))</f>
        <v/>
      </c>
    </row>
    <row r="454" spans="1:14" x14ac:dyDescent="0.25">
      <c r="A454" s="21" t="s">
        <v>1083</v>
      </c>
      <c r="B454" s="22" t="s">
        <v>1084</v>
      </c>
      <c r="C454" s="21"/>
      <c r="N454" t="str">
        <f>IF($B$1="","",IF(ISNUMBER(SEARCH($B$1,$A454&amp;" "&amp;$B454)),MAX($N$3:N453)+1,""))</f>
        <v/>
      </c>
    </row>
    <row r="455" spans="1:14" x14ac:dyDescent="0.25">
      <c r="A455" s="21" t="s">
        <v>1085</v>
      </c>
      <c r="B455" s="22" t="s">
        <v>1086</v>
      </c>
      <c r="C455" s="21"/>
      <c r="N455" t="str">
        <f>IF($B$1="","",IF(ISNUMBER(SEARCH($B$1,$A455&amp;" "&amp;$B455)),MAX($N$3:N454)+1,""))</f>
        <v/>
      </c>
    </row>
    <row r="456" spans="1:14" x14ac:dyDescent="0.25">
      <c r="A456" s="21" t="s">
        <v>1087</v>
      </c>
      <c r="B456" s="22" t="s">
        <v>1088</v>
      </c>
      <c r="C456" s="21"/>
      <c r="N456" t="str">
        <f>IF($B$1="","",IF(ISNUMBER(SEARCH($B$1,$A456&amp;" "&amp;$B456)),MAX($N$3:N455)+1,""))</f>
        <v/>
      </c>
    </row>
    <row r="457" spans="1:14" x14ac:dyDescent="0.25">
      <c r="A457" s="21" t="s">
        <v>1089</v>
      </c>
      <c r="B457" s="22" t="s">
        <v>1090</v>
      </c>
      <c r="C457" s="21"/>
      <c r="N457" t="str">
        <f>IF($B$1="","",IF(ISNUMBER(SEARCH($B$1,$A457&amp;" "&amp;$B457)),MAX($N$3:N456)+1,""))</f>
        <v/>
      </c>
    </row>
    <row r="458" spans="1:14" x14ac:dyDescent="0.25">
      <c r="A458" s="21" t="s">
        <v>1091</v>
      </c>
      <c r="B458" s="22" t="s">
        <v>1092</v>
      </c>
      <c r="C458" s="21"/>
      <c r="N458" t="str">
        <f>IF($B$1="","",IF(ISNUMBER(SEARCH($B$1,$A458&amp;" "&amp;$B458)),MAX($N$3:N457)+1,""))</f>
        <v/>
      </c>
    </row>
    <row r="459" spans="1:14" x14ac:dyDescent="0.25">
      <c r="A459" s="21" t="s">
        <v>1093</v>
      </c>
      <c r="B459" s="22" t="s">
        <v>1094</v>
      </c>
      <c r="C459" s="21"/>
      <c r="N459" t="str">
        <f>IF($B$1="","",IF(ISNUMBER(SEARCH($B$1,$A459&amp;" "&amp;$B459)),MAX($N$3:N458)+1,""))</f>
        <v/>
      </c>
    </row>
    <row r="460" spans="1:14" x14ac:dyDescent="0.25">
      <c r="A460" s="21" t="s">
        <v>1095</v>
      </c>
      <c r="B460" s="22" t="s">
        <v>1096</v>
      </c>
      <c r="C460" s="21"/>
      <c r="N460" t="str">
        <f>IF($B$1="","",IF(ISNUMBER(SEARCH($B$1,$A460&amp;" "&amp;$B460)),MAX($N$3:N459)+1,""))</f>
        <v/>
      </c>
    </row>
    <row r="461" spans="1:14" x14ac:dyDescent="0.25">
      <c r="A461" s="21" t="s">
        <v>1097</v>
      </c>
      <c r="B461" s="22" t="s">
        <v>1098</v>
      </c>
      <c r="C461" s="21"/>
      <c r="N461" t="str">
        <f>IF($B$1="","",IF(ISNUMBER(SEARCH($B$1,$A461&amp;" "&amp;$B461)),MAX($N$3:N460)+1,""))</f>
        <v/>
      </c>
    </row>
    <row r="462" spans="1:14" x14ac:dyDescent="0.25">
      <c r="A462" s="21" t="s">
        <v>1099</v>
      </c>
      <c r="B462" s="22" t="s">
        <v>1100</v>
      </c>
      <c r="C462" s="21"/>
      <c r="N462" t="str">
        <f>IF($B$1="","",IF(ISNUMBER(SEARCH($B$1,$A462&amp;" "&amp;$B462)),MAX($N$3:N461)+1,""))</f>
        <v/>
      </c>
    </row>
    <row r="463" spans="1:14" x14ac:dyDescent="0.25">
      <c r="A463" s="21" t="s">
        <v>1101</v>
      </c>
      <c r="B463" s="22" t="s">
        <v>1102</v>
      </c>
      <c r="C463" s="21"/>
      <c r="N463" t="str">
        <f>IF($B$1="","",IF(ISNUMBER(SEARCH($B$1,$A463&amp;" "&amp;$B463)),MAX($N$3:N462)+1,""))</f>
        <v/>
      </c>
    </row>
    <row r="464" spans="1:14" x14ac:dyDescent="0.25">
      <c r="A464" s="21" t="s">
        <v>1103</v>
      </c>
      <c r="B464" s="22" t="s">
        <v>1104</v>
      </c>
      <c r="C464" s="21"/>
      <c r="N464" t="str">
        <f>IF($B$1="","",IF(ISNUMBER(SEARCH($B$1,$A464&amp;" "&amp;$B464)),MAX($N$3:N463)+1,""))</f>
        <v/>
      </c>
    </row>
    <row r="465" spans="1:14" x14ac:dyDescent="0.25">
      <c r="A465" s="21" t="s">
        <v>1105</v>
      </c>
      <c r="B465" s="22" t="s">
        <v>1106</v>
      </c>
      <c r="C465" s="21"/>
      <c r="N465" t="str">
        <f>IF($B$1="","",IF(ISNUMBER(SEARCH($B$1,$A465&amp;" "&amp;$B465)),MAX($N$3:N464)+1,""))</f>
        <v/>
      </c>
    </row>
    <row r="466" spans="1:14" x14ac:dyDescent="0.25">
      <c r="A466" s="21" t="s">
        <v>1107</v>
      </c>
      <c r="B466" s="22" t="s">
        <v>1108</v>
      </c>
      <c r="C466" s="21"/>
      <c r="N466" t="str">
        <f>IF($B$1="","",IF(ISNUMBER(SEARCH($B$1,$A466&amp;" "&amp;$B466)),MAX($N$3:N465)+1,""))</f>
        <v/>
      </c>
    </row>
    <row r="467" spans="1:14" x14ac:dyDescent="0.25">
      <c r="A467" s="21" t="s">
        <v>1109</v>
      </c>
      <c r="B467" s="22" t="s">
        <v>1110</v>
      </c>
      <c r="C467" s="21"/>
      <c r="N467" t="str">
        <f>IF($B$1="","",IF(ISNUMBER(SEARCH($B$1,$A467&amp;" "&amp;$B467)),MAX($N$3:N466)+1,""))</f>
        <v/>
      </c>
    </row>
    <row r="468" spans="1:14" x14ac:dyDescent="0.25">
      <c r="A468" s="21" t="s">
        <v>1111</v>
      </c>
      <c r="B468" s="22" t="s">
        <v>1112</v>
      </c>
      <c r="C468" s="21"/>
      <c r="N468" t="str">
        <f>IF($B$1="","",IF(ISNUMBER(SEARCH($B$1,$A468&amp;" "&amp;$B468)),MAX($N$3:N467)+1,""))</f>
        <v/>
      </c>
    </row>
    <row r="469" spans="1:14" x14ac:dyDescent="0.25">
      <c r="A469" s="21" t="s">
        <v>1113</v>
      </c>
      <c r="B469" s="22" t="s">
        <v>1114</v>
      </c>
      <c r="C469" s="21"/>
      <c r="N469" t="str">
        <f>IF($B$1="","",IF(ISNUMBER(SEARCH($B$1,$A469&amp;" "&amp;$B469)),MAX($N$3:N468)+1,""))</f>
        <v/>
      </c>
    </row>
    <row r="470" spans="1:14" x14ac:dyDescent="0.25">
      <c r="A470" s="21" t="s">
        <v>1115</v>
      </c>
      <c r="B470" s="22" t="s">
        <v>1116</v>
      </c>
      <c r="C470" s="21"/>
      <c r="N470" t="str">
        <f>IF($B$1="","",IF(ISNUMBER(SEARCH($B$1,$A470&amp;" "&amp;$B470)),MAX($N$3:N469)+1,""))</f>
        <v/>
      </c>
    </row>
    <row r="471" spans="1:14" x14ac:dyDescent="0.25">
      <c r="A471" s="21" t="s">
        <v>1117</v>
      </c>
      <c r="B471" s="22" t="s">
        <v>1118</v>
      </c>
      <c r="C471" s="21"/>
      <c r="N471" t="str">
        <f>IF($B$1="","",IF(ISNUMBER(SEARCH($B$1,$A471&amp;" "&amp;$B471)),MAX($N$3:N470)+1,""))</f>
        <v/>
      </c>
    </row>
    <row r="472" spans="1:14" x14ac:dyDescent="0.25">
      <c r="A472" s="21" t="s">
        <v>1119</v>
      </c>
      <c r="B472" s="22" t="s">
        <v>1120</v>
      </c>
      <c r="C472" s="21"/>
      <c r="N472" t="str">
        <f>IF($B$1="","",IF(ISNUMBER(SEARCH($B$1,$A472&amp;" "&amp;$B472)),MAX($N$3:N471)+1,""))</f>
        <v/>
      </c>
    </row>
    <row r="473" spans="1:14" x14ac:dyDescent="0.25">
      <c r="A473" s="21" t="s">
        <v>1121</v>
      </c>
      <c r="B473" s="22" t="s">
        <v>1122</v>
      </c>
      <c r="C473" s="21"/>
      <c r="N473" t="str">
        <f>IF($B$1="","",IF(ISNUMBER(SEARCH($B$1,$A473&amp;" "&amp;$B473)),MAX($N$3:N472)+1,""))</f>
        <v/>
      </c>
    </row>
    <row r="474" spans="1:14" x14ac:dyDescent="0.25">
      <c r="A474" s="21" t="s">
        <v>1123</v>
      </c>
      <c r="B474" s="22" t="s">
        <v>1124</v>
      </c>
      <c r="C474" s="21"/>
      <c r="N474" t="str">
        <f>IF($B$1="","",IF(ISNUMBER(SEARCH($B$1,$A474&amp;" "&amp;$B474)),MAX($N$3:N473)+1,""))</f>
        <v/>
      </c>
    </row>
    <row r="475" spans="1:14" x14ac:dyDescent="0.25">
      <c r="A475" s="21" t="s">
        <v>1125</v>
      </c>
      <c r="B475" s="22" t="s">
        <v>1126</v>
      </c>
      <c r="C475" s="21"/>
      <c r="N475" t="str">
        <f>IF($B$1="","",IF(ISNUMBER(SEARCH($B$1,$A475&amp;" "&amp;$B475)),MAX($N$3:N474)+1,""))</f>
        <v/>
      </c>
    </row>
    <row r="476" spans="1:14" x14ac:dyDescent="0.25">
      <c r="A476" s="21" t="s">
        <v>1127</v>
      </c>
      <c r="B476" s="22" t="s">
        <v>1128</v>
      </c>
      <c r="C476" s="21"/>
      <c r="N476" t="str">
        <f>IF($B$1="","",IF(ISNUMBER(SEARCH($B$1,$A476&amp;" "&amp;$B476)),MAX($N$3:N475)+1,""))</f>
        <v/>
      </c>
    </row>
    <row r="477" spans="1:14" x14ac:dyDescent="0.25">
      <c r="A477" s="21" t="s">
        <v>1129</v>
      </c>
      <c r="B477" s="22" t="s">
        <v>1130</v>
      </c>
      <c r="C477" s="21"/>
      <c r="N477" t="str">
        <f>IF($B$1="","",IF(ISNUMBER(SEARCH($B$1,$A477&amp;" "&amp;$B477)),MAX($N$3:N476)+1,""))</f>
        <v/>
      </c>
    </row>
    <row r="478" spans="1:14" x14ac:dyDescent="0.25">
      <c r="A478" s="21" t="s">
        <v>1131</v>
      </c>
      <c r="B478" s="22" t="s">
        <v>1132</v>
      </c>
      <c r="C478" s="21"/>
      <c r="N478" t="str">
        <f>IF($B$1="","",IF(ISNUMBER(SEARCH($B$1,$A478&amp;" "&amp;$B478)),MAX($N$3:N477)+1,""))</f>
        <v/>
      </c>
    </row>
    <row r="479" spans="1:14" x14ac:dyDescent="0.25">
      <c r="A479" s="21" t="s">
        <v>1133</v>
      </c>
      <c r="B479" s="22" t="s">
        <v>1134</v>
      </c>
      <c r="C479" s="21"/>
      <c r="N479" t="str">
        <f>IF($B$1="","",IF(ISNUMBER(SEARCH($B$1,$A479&amp;" "&amp;$B479)),MAX($N$3:N478)+1,""))</f>
        <v/>
      </c>
    </row>
    <row r="480" spans="1:14" x14ac:dyDescent="0.25">
      <c r="A480" s="21" t="s">
        <v>1135</v>
      </c>
      <c r="B480" s="22" t="s">
        <v>1136</v>
      </c>
      <c r="C480" s="21"/>
      <c r="N480" t="str">
        <f>IF($B$1="","",IF(ISNUMBER(SEARCH($B$1,$A480&amp;" "&amp;$B480)),MAX($N$3:N479)+1,""))</f>
        <v/>
      </c>
    </row>
    <row r="481" spans="1:14" x14ac:dyDescent="0.25">
      <c r="A481" s="21" t="s">
        <v>1137</v>
      </c>
      <c r="B481" s="22" t="s">
        <v>1138</v>
      </c>
      <c r="C481" s="21"/>
      <c r="N481" t="str">
        <f>IF($B$1="","",IF(ISNUMBER(SEARCH($B$1,$A481&amp;" "&amp;$B481)),MAX($N$3:N480)+1,""))</f>
        <v/>
      </c>
    </row>
    <row r="482" spans="1:14" x14ac:dyDescent="0.25">
      <c r="A482" s="21" t="s">
        <v>1139</v>
      </c>
      <c r="B482" s="22" t="s">
        <v>1140</v>
      </c>
      <c r="C482" s="21"/>
      <c r="N482" t="str">
        <f>IF($B$1="","",IF(ISNUMBER(SEARCH($B$1,$A482&amp;" "&amp;$B482)),MAX($N$3:N481)+1,""))</f>
        <v/>
      </c>
    </row>
    <row r="483" spans="1:14" x14ac:dyDescent="0.25">
      <c r="A483" s="21" t="s">
        <v>1141</v>
      </c>
      <c r="B483" s="22" t="s">
        <v>1142</v>
      </c>
      <c r="C483" s="21"/>
      <c r="N483" t="str">
        <f>IF($B$1="","",IF(ISNUMBER(SEARCH($B$1,$A483&amp;" "&amp;$B483)),MAX($N$3:N482)+1,""))</f>
        <v/>
      </c>
    </row>
    <row r="484" spans="1:14" x14ac:dyDescent="0.25">
      <c r="A484" s="21" t="s">
        <v>1143</v>
      </c>
      <c r="B484" s="22" t="s">
        <v>1144</v>
      </c>
      <c r="C484" s="21"/>
      <c r="N484" t="str">
        <f>IF($B$1="","",IF(ISNUMBER(SEARCH($B$1,$A484&amp;" "&amp;$B484)),MAX($N$3:N483)+1,""))</f>
        <v/>
      </c>
    </row>
    <row r="485" spans="1:14" x14ac:dyDescent="0.25">
      <c r="A485" s="21" t="s">
        <v>1145</v>
      </c>
      <c r="B485" s="22" t="s">
        <v>1146</v>
      </c>
      <c r="C485" s="21"/>
      <c r="N485" t="str">
        <f>IF($B$1="","",IF(ISNUMBER(SEARCH($B$1,$A485&amp;" "&amp;$B485)),MAX($N$3:N484)+1,""))</f>
        <v/>
      </c>
    </row>
    <row r="486" spans="1:14" x14ac:dyDescent="0.25">
      <c r="A486" s="21" t="s">
        <v>1147</v>
      </c>
      <c r="B486" s="22" t="s">
        <v>1148</v>
      </c>
      <c r="C486" s="21"/>
      <c r="N486" t="str">
        <f>IF($B$1="","",IF(ISNUMBER(SEARCH($B$1,$A486&amp;" "&amp;$B486)),MAX($N$3:N485)+1,""))</f>
        <v/>
      </c>
    </row>
    <row r="487" spans="1:14" x14ac:dyDescent="0.25">
      <c r="A487" s="21" t="s">
        <v>1149</v>
      </c>
      <c r="B487" s="22" t="s">
        <v>1150</v>
      </c>
      <c r="C487" s="21"/>
      <c r="N487" t="str">
        <f>IF($B$1="","",IF(ISNUMBER(SEARCH($B$1,$A487&amp;" "&amp;$B487)),MAX($N$3:N486)+1,""))</f>
        <v/>
      </c>
    </row>
    <row r="488" spans="1:14" x14ac:dyDescent="0.25">
      <c r="A488" s="21" t="s">
        <v>1151</v>
      </c>
      <c r="B488" s="22" t="s">
        <v>1152</v>
      </c>
      <c r="C488" s="21"/>
      <c r="N488" t="str">
        <f>IF($B$1="","",IF(ISNUMBER(SEARCH($B$1,$A488&amp;" "&amp;$B488)),MAX($N$3:N487)+1,""))</f>
        <v/>
      </c>
    </row>
    <row r="489" spans="1:14" x14ac:dyDescent="0.25">
      <c r="A489" s="21" t="s">
        <v>1153</v>
      </c>
      <c r="B489" s="22" t="s">
        <v>1154</v>
      </c>
      <c r="C489" s="21"/>
      <c r="N489" t="str">
        <f>IF($B$1="","",IF(ISNUMBER(SEARCH($B$1,$A489&amp;" "&amp;$B489)),MAX($N$3:N488)+1,""))</f>
        <v/>
      </c>
    </row>
    <row r="490" spans="1:14" x14ac:dyDescent="0.25">
      <c r="A490" s="21" t="s">
        <v>1155</v>
      </c>
      <c r="B490" s="22" t="s">
        <v>1156</v>
      </c>
      <c r="C490" s="21"/>
      <c r="N490" t="str">
        <f>IF($B$1="","",IF(ISNUMBER(SEARCH($B$1,$A490&amp;" "&amp;$B490)),MAX($N$3:N489)+1,""))</f>
        <v/>
      </c>
    </row>
    <row r="491" spans="1:14" x14ac:dyDescent="0.25">
      <c r="A491" s="21" t="s">
        <v>1157</v>
      </c>
      <c r="B491" s="22" t="s">
        <v>1158</v>
      </c>
      <c r="C491" s="21"/>
      <c r="N491" t="str">
        <f>IF($B$1="","",IF(ISNUMBER(SEARCH($B$1,$A491&amp;" "&amp;$B491)),MAX($N$3:N490)+1,""))</f>
        <v/>
      </c>
    </row>
    <row r="492" spans="1:14" x14ac:dyDescent="0.25">
      <c r="A492" s="21" t="s">
        <v>1159</v>
      </c>
      <c r="B492" s="22" t="s">
        <v>1160</v>
      </c>
      <c r="C492" s="21"/>
      <c r="N492" t="str">
        <f>IF($B$1="","",IF(ISNUMBER(SEARCH($B$1,$A492&amp;" "&amp;$B492)),MAX($N$3:N491)+1,""))</f>
        <v/>
      </c>
    </row>
    <row r="493" spans="1:14" x14ac:dyDescent="0.25">
      <c r="A493" s="21" t="s">
        <v>1161</v>
      </c>
      <c r="B493" s="22" t="s">
        <v>1162</v>
      </c>
      <c r="C493" s="21"/>
      <c r="N493" t="str">
        <f>IF($B$1="","",IF(ISNUMBER(SEARCH($B$1,$A493&amp;" "&amp;$B493)),MAX($N$3:N492)+1,""))</f>
        <v/>
      </c>
    </row>
    <row r="494" spans="1:14" x14ac:dyDescent="0.25">
      <c r="A494" s="21" t="s">
        <v>1163</v>
      </c>
      <c r="B494" s="22" t="s">
        <v>1164</v>
      </c>
      <c r="C494" s="21"/>
      <c r="N494" t="str">
        <f>IF($B$1="","",IF(ISNUMBER(SEARCH($B$1,$A494&amp;" "&amp;$B494)),MAX($N$3:N493)+1,""))</f>
        <v/>
      </c>
    </row>
    <row r="495" spans="1:14" x14ac:dyDescent="0.25">
      <c r="A495" s="21" t="s">
        <v>1165</v>
      </c>
      <c r="B495" s="22" t="s">
        <v>1166</v>
      </c>
      <c r="C495" s="21"/>
      <c r="N495" t="str">
        <f>IF($B$1="","",IF(ISNUMBER(SEARCH($B$1,$A495&amp;" "&amp;$B495)),MAX($N$3:N494)+1,""))</f>
        <v/>
      </c>
    </row>
    <row r="496" spans="1:14" x14ac:dyDescent="0.25">
      <c r="A496" s="21" t="s">
        <v>1167</v>
      </c>
      <c r="B496" s="22" t="s">
        <v>1168</v>
      </c>
      <c r="C496" s="21"/>
      <c r="N496" t="str">
        <f>IF($B$1="","",IF(ISNUMBER(SEARCH($B$1,$A496&amp;" "&amp;$B496)),MAX($N$3:N495)+1,""))</f>
        <v/>
      </c>
    </row>
    <row r="497" spans="1:14" x14ac:dyDescent="0.25">
      <c r="A497" s="21" t="s">
        <v>1169</v>
      </c>
      <c r="B497" s="22" t="s">
        <v>1170</v>
      </c>
      <c r="C497" s="21"/>
      <c r="N497" t="str">
        <f>IF($B$1="","",IF(ISNUMBER(SEARCH($B$1,$A497&amp;" "&amp;$B497)),MAX($N$3:N496)+1,""))</f>
        <v/>
      </c>
    </row>
    <row r="498" spans="1:14" x14ac:dyDescent="0.25">
      <c r="A498" s="21" t="s">
        <v>1171</v>
      </c>
      <c r="B498" s="22" t="s">
        <v>1172</v>
      </c>
      <c r="C498" s="21"/>
      <c r="N498" t="str">
        <f>IF($B$1="","",IF(ISNUMBER(SEARCH($B$1,$A498&amp;" "&amp;$B498)),MAX($N$3:N497)+1,""))</f>
        <v/>
      </c>
    </row>
    <row r="499" spans="1:14" x14ac:dyDescent="0.25">
      <c r="A499" s="21" t="s">
        <v>1173</v>
      </c>
      <c r="B499" s="22" t="s">
        <v>1174</v>
      </c>
      <c r="C499" s="21"/>
      <c r="N499" t="str">
        <f>IF($B$1="","",IF(ISNUMBER(SEARCH($B$1,$A499&amp;" "&amp;$B499)),MAX($N$3:N498)+1,""))</f>
        <v/>
      </c>
    </row>
    <row r="500" spans="1:14" x14ac:dyDescent="0.25">
      <c r="A500" s="21" t="s">
        <v>1175</v>
      </c>
      <c r="B500" s="22" t="s">
        <v>1176</v>
      </c>
      <c r="C500" s="21"/>
      <c r="N500" t="str">
        <f>IF($B$1="","",IF(ISNUMBER(SEARCH($B$1,$A500&amp;" "&amp;$B500)),MAX($N$3:N499)+1,""))</f>
        <v/>
      </c>
    </row>
    <row r="501" spans="1:14" x14ac:dyDescent="0.25">
      <c r="A501" s="21" t="s">
        <v>1177</v>
      </c>
      <c r="B501" s="22" t="s">
        <v>1178</v>
      </c>
      <c r="C501" s="21"/>
      <c r="N501" t="str">
        <f>IF($B$1="","",IF(ISNUMBER(SEARCH($B$1,$A501&amp;" "&amp;$B501)),MAX($N$3:N500)+1,""))</f>
        <v/>
      </c>
    </row>
    <row r="502" spans="1:14" x14ac:dyDescent="0.25">
      <c r="A502" s="21" t="s">
        <v>1179</v>
      </c>
      <c r="B502" s="22" t="s">
        <v>1180</v>
      </c>
      <c r="C502" s="21"/>
      <c r="N502" t="str">
        <f>IF($B$1="","",IF(ISNUMBER(SEARCH($B$1,$A502&amp;" "&amp;$B502)),MAX($N$3:N501)+1,""))</f>
        <v/>
      </c>
    </row>
    <row r="503" spans="1:14" x14ac:dyDescent="0.25">
      <c r="A503" s="21" t="s">
        <v>1181</v>
      </c>
      <c r="B503" s="22" t="s">
        <v>1182</v>
      </c>
      <c r="C503" s="21"/>
      <c r="N503" t="str">
        <f>IF($B$1="","",IF(ISNUMBER(SEARCH($B$1,$A503&amp;" "&amp;$B503)),MAX($N$3:N502)+1,""))</f>
        <v/>
      </c>
    </row>
    <row r="504" spans="1:14" x14ac:dyDescent="0.25">
      <c r="A504" s="21" t="s">
        <v>1183</v>
      </c>
      <c r="B504" s="22" t="s">
        <v>1184</v>
      </c>
      <c r="C504" s="21"/>
      <c r="N504" t="str">
        <f>IF($B$1="","",IF(ISNUMBER(SEARCH($B$1,$A504&amp;" "&amp;$B504)),MAX($N$3:N503)+1,""))</f>
        <v/>
      </c>
    </row>
    <row r="505" spans="1:14" x14ac:dyDescent="0.25">
      <c r="A505" s="21" t="s">
        <v>1185</v>
      </c>
      <c r="B505" s="22" t="s">
        <v>34</v>
      </c>
      <c r="C505" s="21"/>
      <c r="N505" t="str">
        <f>IF($B$1="","",IF(ISNUMBER(SEARCH($B$1,$A505&amp;" "&amp;$B505)),MAX($N$3:N504)+1,""))</f>
        <v/>
      </c>
    </row>
    <row r="506" spans="1:14" x14ac:dyDescent="0.25">
      <c r="A506" s="21" t="s">
        <v>1186</v>
      </c>
      <c r="B506" s="22" t="s">
        <v>1187</v>
      </c>
      <c r="C506" s="21"/>
      <c r="N506" t="str">
        <f>IF($B$1="","",IF(ISNUMBER(SEARCH($B$1,$A506&amp;" "&amp;$B506)),MAX($N$3:N505)+1,""))</f>
        <v/>
      </c>
    </row>
    <row r="507" spans="1:14" x14ac:dyDescent="0.25">
      <c r="A507" s="21" t="s">
        <v>1188</v>
      </c>
      <c r="B507" s="22" t="s">
        <v>20</v>
      </c>
      <c r="C507" s="21"/>
      <c r="N507" t="str">
        <f>IF($B$1="","",IF(ISNUMBER(SEARCH($B$1,$A507&amp;" "&amp;$B507)),MAX($N$3:N506)+1,""))</f>
        <v/>
      </c>
    </row>
    <row r="508" spans="1:14" x14ac:dyDescent="0.25">
      <c r="A508" s="21" t="s">
        <v>1189</v>
      </c>
      <c r="B508" s="22" t="s">
        <v>1190</v>
      </c>
      <c r="C508" s="21"/>
      <c r="N508" t="str">
        <f>IF($B$1="","",IF(ISNUMBER(SEARCH($B$1,$A508&amp;" "&amp;$B508)),MAX($N$3:N507)+1,""))</f>
        <v/>
      </c>
    </row>
    <row r="509" spans="1:14" x14ac:dyDescent="0.25">
      <c r="A509" s="21" t="s">
        <v>1191</v>
      </c>
      <c r="B509" s="22" t="s">
        <v>1192</v>
      </c>
      <c r="C509" s="21"/>
      <c r="N509" t="str">
        <f>IF($B$1="","",IF(ISNUMBER(SEARCH($B$1,$A509&amp;" "&amp;$B509)),MAX($N$3:N508)+1,""))</f>
        <v/>
      </c>
    </row>
    <row r="510" spans="1:14" x14ac:dyDescent="0.25">
      <c r="A510" s="21" t="s">
        <v>1193</v>
      </c>
      <c r="B510" s="22" t="s">
        <v>1194</v>
      </c>
      <c r="C510" s="21"/>
      <c r="N510" t="str">
        <f>IF($B$1="","",IF(ISNUMBER(SEARCH($B$1,$A510&amp;" "&amp;$B510)),MAX($N$3:N509)+1,""))</f>
        <v/>
      </c>
    </row>
    <row r="511" spans="1:14" x14ac:dyDescent="0.25">
      <c r="A511" s="21" t="s">
        <v>1195</v>
      </c>
      <c r="B511" s="22" t="s">
        <v>1196</v>
      </c>
      <c r="C511" s="21"/>
      <c r="N511" t="str">
        <f>IF($B$1="","",IF(ISNUMBER(SEARCH($B$1,$A511&amp;" "&amp;$B511)),MAX($N$3:N510)+1,""))</f>
        <v/>
      </c>
    </row>
    <row r="512" spans="1:14" x14ac:dyDescent="0.25">
      <c r="A512" s="21" t="s">
        <v>1197</v>
      </c>
      <c r="B512" s="22" t="s">
        <v>1198</v>
      </c>
      <c r="C512" s="21"/>
      <c r="N512" t="str">
        <f>IF($B$1="","",IF(ISNUMBER(SEARCH($B$1,$A512&amp;" "&amp;$B512)),MAX($N$3:N511)+1,""))</f>
        <v/>
      </c>
    </row>
    <row r="513" spans="1:14" x14ac:dyDescent="0.25">
      <c r="A513" s="21" t="s">
        <v>1199</v>
      </c>
      <c r="B513" s="22" t="s">
        <v>1200</v>
      </c>
      <c r="C513" s="21"/>
      <c r="N513" t="str">
        <f>IF($B$1="","",IF(ISNUMBER(SEARCH($B$1,$A513&amp;" "&amp;$B513)),MAX($N$3:N512)+1,""))</f>
        <v/>
      </c>
    </row>
    <row r="514" spans="1:14" x14ac:dyDescent="0.25">
      <c r="A514" s="21" t="s">
        <v>1201</v>
      </c>
      <c r="B514" s="22" t="s">
        <v>1202</v>
      </c>
      <c r="C514" s="21"/>
      <c r="N514" t="str">
        <f>IF($B$1="","",IF(ISNUMBER(SEARCH($B$1,$A514&amp;" "&amp;$B514)),MAX($N$3:N513)+1,""))</f>
        <v/>
      </c>
    </row>
    <row r="515" spans="1:14" x14ac:dyDescent="0.25">
      <c r="A515" s="21" t="s">
        <v>1203</v>
      </c>
      <c r="B515" s="22" t="s">
        <v>1204</v>
      </c>
      <c r="C515" s="21"/>
      <c r="N515" t="str">
        <f>IF($B$1="","",IF(ISNUMBER(SEARCH($B$1,$A515&amp;" "&amp;$B515)),MAX($N$3:N514)+1,""))</f>
        <v/>
      </c>
    </row>
    <row r="516" spans="1:14" x14ac:dyDescent="0.25">
      <c r="A516" s="21" t="s">
        <v>1205</v>
      </c>
      <c r="B516" s="22" t="s">
        <v>1206</v>
      </c>
      <c r="C516" s="21"/>
      <c r="N516" t="str">
        <f>IF($B$1="","",IF(ISNUMBER(SEARCH($B$1,$A516&amp;" "&amp;$B516)),MAX($N$3:N515)+1,""))</f>
        <v/>
      </c>
    </row>
    <row r="517" spans="1:14" x14ac:dyDescent="0.25">
      <c r="A517" s="21" t="s">
        <v>1207</v>
      </c>
      <c r="B517" s="22" t="s">
        <v>1208</v>
      </c>
      <c r="C517" s="21"/>
      <c r="N517" t="str">
        <f>IF($B$1="","",IF(ISNUMBER(SEARCH($B$1,$A517&amp;" "&amp;$B517)),MAX($N$3:N516)+1,""))</f>
        <v/>
      </c>
    </row>
    <row r="518" spans="1:14" x14ac:dyDescent="0.25">
      <c r="A518" s="21" t="s">
        <v>1209</v>
      </c>
      <c r="B518" s="22" t="s">
        <v>1210</v>
      </c>
      <c r="C518" s="21"/>
      <c r="N518" t="str">
        <f>IF($B$1="","",IF(ISNUMBER(SEARCH($B$1,$A518&amp;" "&amp;$B518)),MAX($N$3:N517)+1,""))</f>
        <v/>
      </c>
    </row>
    <row r="519" spans="1:14" x14ac:dyDescent="0.25">
      <c r="A519" s="21" t="s">
        <v>1211</v>
      </c>
      <c r="B519" s="22" t="s">
        <v>1212</v>
      </c>
      <c r="C519" s="21"/>
      <c r="N519" t="str">
        <f>IF($B$1="","",IF(ISNUMBER(SEARCH($B$1,$A519&amp;" "&amp;$B519)),MAX($N$3:N518)+1,""))</f>
        <v/>
      </c>
    </row>
    <row r="520" spans="1:14" x14ac:dyDescent="0.25">
      <c r="A520" s="21" t="s">
        <v>1213</v>
      </c>
      <c r="B520" s="22" t="s">
        <v>1214</v>
      </c>
      <c r="C520" s="21"/>
      <c r="N520" t="str">
        <f>IF($B$1="","",IF(ISNUMBER(SEARCH($B$1,$A520&amp;" "&amp;$B520)),MAX($N$3:N519)+1,""))</f>
        <v/>
      </c>
    </row>
    <row r="521" spans="1:14" x14ac:dyDescent="0.25">
      <c r="A521" s="21" t="s">
        <v>1215</v>
      </c>
      <c r="B521" s="22" t="s">
        <v>1216</v>
      </c>
      <c r="C521" s="21"/>
      <c r="N521" t="str">
        <f>IF($B$1="","",IF(ISNUMBER(SEARCH($B$1,$A521&amp;" "&amp;$B521)),MAX($N$3:N520)+1,""))</f>
        <v/>
      </c>
    </row>
    <row r="522" spans="1:14" x14ac:dyDescent="0.25">
      <c r="A522" s="21" t="s">
        <v>1217</v>
      </c>
      <c r="B522" s="22" t="s">
        <v>1218</v>
      </c>
      <c r="C522" s="21"/>
      <c r="N522" t="str">
        <f>IF($B$1="","",IF(ISNUMBER(SEARCH($B$1,$A522&amp;" "&amp;$B522)),MAX($N$3:N521)+1,""))</f>
        <v/>
      </c>
    </row>
    <row r="523" spans="1:14" x14ac:dyDescent="0.25">
      <c r="A523" s="21" t="s">
        <v>1219</v>
      </c>
      <c r="B523" s="22" t="s">
        <v>1220</v>
      </c>
      <c r="C523" s="21"/>
      <c r="N523" t="str">
        <f>IF($B$1="","",IF(ISNUMBER(SEARCH($B$1,$A523&amp;" "&amp;$B523)),MAX($N$3:N522)+1,""))</f>
        <v/>
      </c>
    </row>
    <row r="524" spans="1:14" x14ac:dyDescent="0.25">
      <c r="A524" s="21" t="s">
        <v>1221</v>
      </c>
      <c r="B524" s="22" t="s">
        <v>1222</v>
      </c>
      <c r="C524" s="21"/>
      <c r="N524" t="str">
        <f>IF($B$1="","",IF(ISNUMBER(SEARCH($B$1,$A524&amp;" "&amp;$B524)),MAX($N$3:N523)+1,""))</f>
        <v/>
      </c>
    </row>
    <row r="525" spans="1:14" x14ac:dyDescent="0.25">
      <c r="A525" s="21" t="s">
        <v>1223</v>
      </c>
      <c r="B525" s="22" t="s">
        <v>1224</v>
      </c>
      <c r="C525" s="21"/>
      <c r="N525" t="str">
        <f>IF($B$1="","",IF(ISNUMBER(SEARCH($B$1,$A525&amp;" "&amp;$B525)),MAX($N$3:N524)+1,""))</f>
        <v/>
      </c>
    </row>
    <row r="526" spans="1:14" x14ac:dyDescent="0.25">
      <c r="A526" s="21" t="s">
        <v>1225</v>
      </c>
      <c r="B526" s="22" t="s">
        <v>1226</v>
      </c>
      <c r="C526" s="21"/>
      <c r="N526" t="str">
        <f>IF($B$1="","",IF(ISNUMBER(SEARCH($B$1,$A526&amp;" "&amp;$B526)),MAX($N$3:N525)+1,""))</f>
        <v/>
      </c>
    </row>
    <row r="527" spans="1:14" x14ac:dyDescent="0.25">
      <c r="A527" s="21" t="s">
        <v>1227</v>
      </c>
      <c r="B527" s="22" t="s">
        <v>1228</v>
      </c>
      <c r="C527" s="21"/>
      <c r="N527" t="str">
        <f>IF($B$1="","",IF(ISNUMBER(SEARCH($B$1,$A527&amp;" "&amp;$B527)),MAX($N$3:N526)+1,""))</f>
        <v/>
      </c>
    </row>
    <row r="528" spans="1:14" x14ac:dyDescent="0.25">
      <c r="A528" s="21" t="s">
        <v>1229</v>
      </c>
      <c r="B528" s="22" t="s">
        <v>1230</v>
      </c>
      <c r="C528" s="21"/>
      <c r="N528" t="str">
        <f>IF($B$1="","",IF(ISNUMBER(SEARCH($B$1,$A528&amp;" "&amp;$B528)),MAX($N$3:N527)+1,""))</f>
        <v/>
      </c>
    </row>
    <row r="529" spans="1:14" x14ac:dyDescent="0.25">
      <c r="A529" s="21" t="s">
        <v>1231</v>
      </c>
      <c r="B529" s="22" t="s">
        <v>1232</v>
      </c>
      <c r="C529" s="21"/>
      <c r="N529" t="str">
        <f>IF($B$1="","",IF(ISNUMBER(SEARCH($B$1,$A529&amp;" "&amp;$B529)),MAX($N$3:N528)+1,""))</f>
        <v/>
      </c>
    </row>
    <row r="530" spans="1:14" x14ac:dyDescent="0.25">
      <c r="A530" s="21" t="s">
        <v>1233</v>
      </c>
      <c r="B530" s="22" t="s">
        <v>1234</v>
      </c>
      <c r="C530" s="21"/>
      <c r="N530" t="str">
        <f>IF($B$1="","",IF(ISNUMBER(SEARCH($B$1,$A530&amp;" "&amp;$B530)),MAX($N$3:N529)+1,""))</f>
        <v/>
      </c>
    </row>
    <row r="531" spans="1:14" x14ac:dyDescent="0.25">
      <c r="A531" s="21" t="s">
        <v>1235</v>
      </c>
      <c r="B531" s="22" t="s">
        <v>1236</v>
      </c>
      <c r="C531" s="21"/>
      <c r="N531" t="str">
        <f>IF($B$1="","",IF(ISNUMBER(SEARCH($B$1,$A531&amp;" "&amp;$B531)),MAX($N$3:N530)+1,""))</f>
        <v/>
      </c>
    </row>
    <row r="532" spans="1:14" x14ac:dyDescent="0.25">
      <c r="A532" s="21" t="s">
        <v>1237</v>
      </c>
      <c r="B532" s="22" t="s">
        <v>1238</v>
      </c>
      <c r="C532" s="21"/>
      <c r="N532" t="str">
        <f>IF($B$1="","",IF(ISNUMBER(SEARCH($B$1,$A532&amp;" "&amp;$B532)),MAX($N$3:N531)+1,""))</f>
        <v/>
      </c>
    </row>
    <row r="533" spans="1:14" x14ac:dyDescent="0.25">
      <c r="A533" s="21" t="s">
        <v>1239</v>
      </c>
      <c r="B533" s="22" t="s">
        <v>1240</v>
      </c>
      <c r="C533" s="21"/>
      <c r="N533" t="str">
        <f>IF($B$1="","",IF(ISNUMBER(SEARCH($B$1,$A533&amp;" "&amp;$B533)),MAX($N$3:N532)+1,""))</f>
        <v/>
      </c>
    </row>
    <row r="534" spans="1:14" x14ac:dyDescent="0.25">
      <c r="A534" s="21" t="s">
        <v>1241</v>
      </c>
      <c r="B534" s="22" t="s">
        <v>1242</v>
      </c>
      <c r="C534" s="21"/>
      <c r="N534" t="str">
        <f>IF($B$1="","",IF(ISNUMBER(SEARCH($B$1,$A534&amp;" "&amp;$B534)),MAX($N$3:N533)+1,""))</f>
        <v/>
      </c>
    </row>
    <row r="535" spans="1:14" x14ac:dyDescent="0.25">
      <c r="A535" s="21" t="s">
        <v>1243</v>
      </c>
      <c r="B535" s="22" t="s">
        <v>1244</v>
      </c>
      <c r="C535" s="21"/>
      <c r="N535" t="str">
        <f>IF($B$1="","",IF(ISNUMBER(SEARCH($B$1,$A535&amp;" "&amp;$B535)),MAX($N$3:N534)+1,""))</f>
        <v/>
      </c>
    </row>
    <row r="536" spans="1:14" x14ac:dyDescent="0.25">
      <c r="A536" s="21" t="s">
        <v>1245</v>
      </c>
      <c r="B536" s="22" t="s">
        <v>1246</v>
      </c>
      <c r="C536" s="21"/>
      <c r="N536" t="str">
        <f>IF($B$1="","",IF(ISNUMBER(SEARCH($B$1,$A536&amp;" "&amp;$B536)),MAX($N$3:N535)+1,""))</f>
        <v/>
      </c>
    </row>
    <row r="537" spans="1:14" x14ac:dyDescent="0.25">
      <c r="A537" s="21" t="s">
        <v>1247</v>
      </c>
      <c r="B537" s="22" t="s">
        <v>1248</v>
      </c>
      <c r="C537" s="21"/>
      <c r="N537" t="str">
        <f>IF($B$1="","",IF(ISNUMBER(SEARCH($B$1,$A537&amp;" "&amp;$B537)),MAX($N$3:N536)+1,""))</f>
        <v/>
      </c>
    </row>
    <row r="538" spans="1:14" x14ac:dyDescent="0.25">
      <c r="A538" s="21" t="s">
        <v>1249</v>
      </c>
      <c r="B538" s="22" t="s">
        <v>1250</v>
      </c>
      <c r="C538" s="21"/>
      <c r="N538" t="str">
        <f>IF($B$1="","",IF(ISNUMBER(SEARCH($B$1,$A538&amp;" "&amp;$B538)),MAX($N$3:N537)+1,""))</f>
        <v/>
      </c>
    </row>
    <row r="539" spans="1:14" x14ac:dyDescent="0.25">
      <c r="A539" s="21" t="s">
        <v>1251</v>
      </c>
      <c r="B539" s="22" t="s">
        <v>1252</v>
      </c>
      <c r="C539" s="21"/>
      <c r="N539" t="str">
        <f>IF($B$1="","",IF(ISNUMBER(SEARCH($B$1,$A539&amp;" "&amp;$B539)),MAX($N$3:N538)+1,""))</f>
        <v/>
      </c>
    </row>
    <row r="540" spans="1:14" x14ac:dyDescent="0.25">
      <c r="A540" s="21" t="s">
        <v>1253</v>
      </c>
      <c r="B540" s="22" t="s">
        <v>1254</v>
      </c>
      <c r="C540" s="21"/>
      <c r="N540" t="str">
        <f>IF($B$1="","",IF(ISNUMBER(SEARCH($B$1,$A540&amp;" "&amp;$B540)),MAX($N$3:N539)+1,""))</f>
        <v/>
      </c>
    </row>
    <row r="541" spans="1:14" x14ac:dyDescent="0.25">
      <c r="A541" s="21" t="s">
        <v>1255</v>
      </c>
      <c r="B541" s="22" t="s">
        <v>1256</v>
      </c>
      <c r="C541" s="21"/>
      <c r="N541" t="str">
        <f>IF($B$1="","",IF(ISNUMBER(SEARCH($B$1,$A541&amp;" "&amp;$B541)),MAX($N$3:N540)+1,""))</f>
        <v/>
      </c>
    </row>
    <row r="542" spans="1:14" x14ac:dyDescent="0.25">
      <c r="A542" s="21" t="s">
        <v>1257</v>
      </c>
      <c r="B542" s="22" t="s">
        <v>1258</v>
      </c>
      <c r="C542" s="21"/>
      <c r="N542" t="str">
        <f>IF($B$1="","",IF(ISNUMBER(SEARCH($B$1,$A542&amp;" "&amp;$B542)),MAX($N$3:N541)+1,""))</f>
        <v/>
      </c>
    </row>
    <row r="543" spans="1:14" x14ac:dyDescent="0.25">
      <c r="A543" s="21" t="s">
        <v>1259</v>
      </c>
      <c r="B543" s="22" t="s">
        <v>1260</v>
      </c>
      <c r="C543" s="21"/>
      <c r="N543" t="str">
        <f>IF($B$1="","",IF(ISNUMBER(SEARCH($B$1,$A543&amp;" "&amp;$B543)),MAX($N$3:N542)+1,""))</f>
        <v/>
      </c>
    </row>
    <row r="544" spans="1:14" x14ac:dyDescent="0.25">
      <c r="A544" s="21" t="s">
        <v>1261</v>
      </c>
      <c r="B544" s="22" t="s">
        <v>1262</v>
      </c>
      <c r="C544" s="21"/>
      <c r="N544" t="str">
        <f>IF($B$1="","",IF(ISNUMBER(SEARCH($B$1,$A544&amp;" "&amp;$B544)),MAX($N$3:N543)+1,""))</f>
        <v/>
      </c>
    </row>
    <row r="545" spans="1:14" x14ac:dyDescent="0.25">
      <c r="A545" s="21" t="s">
        <v>1263</v>
      </c>
      <c r="B545" s="22" t="s">
        <v>1264</v>
      </c>
      <c r="C545" s="21"/>
      <c r="N545" t="str">
        <f>IF($B$1="","",IF(ISNUMBER(SEARCH($B$1,$A545&amp;" "&amp;$B545)),MAX($N$3:N544)+1,""))</f>
        <v/>
      </c>
    </row>
    <row r="546" spans="1:14" x14ac:dyDescent="0.25">
      <c r="A546" s="21" t="s">
        <v>1265</v>
      </c>
      <c r="B546" s="22" t="s">
        <v>1266</v>
      </c>
      <c r="C546" s="21"/>
      <c r="N546" t="str">
        <f>IF($B$1="","",IF(ISNUMBER(SEARCH($B$1,$A546&amp;" "&amp;$B546)),MAX($N$3:N545)+1,""))</f>
        <v/>
      </c>
    </row>
    <row r="547" spans="1:14" x14ac:dyDescent="0.25">
      <c r="A547" s="21" t="s">
        <v>1267</v>
      </c>
      <c r="B547" s="22" t="s">
        <v>1268</v>
      </c>
      <c r="C547" s="21"/>
      <c r="N547" t="str">
        <f>IF($B$1="","",IF(ISNUMBER(SEARCH($B$1,$A547&amp;" "&amp;$B547)),MAX($N$3:N546)+1,""))</f>
        <v/>
      </c>
    </row>
    <row r="548" spans="1:14" x14ac:dyDescent="0.25">
      <c r="A548" s="21" t="s">
        <v>1269</v>
      </c>
      <c r="B548" s="22" t="s">
        <v>1270</v>
      </c>
      <c r="C548" s="21"/>
      <c r="N548" t="str">
        <f>IF($B$1="","",IF(ISNUMBER(SEARCH($B$1,$A548&amp;" "&amp;$B548)),MAX($N$3:N547)+1,""))</f>
        <v/>
      </c>
    </row>
    <row r="549" spans="1:14" x14ac:dyDescent="0.25">
      <c r="A549" s="21" t="s">
        <v>1271</v>
      </c>
      <c r="B549" s="22" t="s">
        <v>1272</v>
      </c>
      <c r="C549" s="21"/>
      <c r="N549" t="str">
        <f>IF($B$1="","",IF(ISNUMBER(SEARCH($B$1,$A549&amp;" "&amp;$B549)),MAX($N$3:N548)+1,""))</f>
        <v/>
      </c>
    </row>
    <row r="550" spans="1:14" x14ac:dyDescent="0.25">
      <c r="A550" s="21" t="s">
        <v>1273</v>
      </c>
      <c r="B550" s="22" t="s">
        <v>1274</v>
      </c>
      <c r="C550" s="21"/>
      <c r="N550" t="str">
        <f>IF($B$1="","",IF(ISNUMBER(SEARCH($B$1,$A550&amp;" "&amp;$B550)),MAX($N$3:N549)+1,""))</f>
        <v/>
      </c>
    </row>
    <row r="551" spans="1:14" x14ac:dyDescent="0.25">
      <c r="A551" s="21" t="s">
        <v>1275</v>
      </c>
      <c r="B551" s="22" t="s">
        <v>1276</v>
      </c>
      <c r="C551" s="21"/>
      <c r="N551" t="str">
        <f>IF($B$1="","",IF(ISNUMBER(SEARCH($B$1,$A551&amp;" "&amp;$B551)),MAX($N$3:N550)+1,""))</f>
        <v/>
      </c>
    </row>
    <row r="552" spans="1:14" x14ac:dyDescent="0.25">
      <c r="A552" s="21" t="s">
        <v>1277</v>
      </c>
      <c r="B552" s="22" t="s">
        <v>1278</v>
      </c>
      <c r="C552" s="21"/>
      <c r="N552" t="str">
        <f>IF($B$1="","",IF(ISNUMBER(SEARCH($B$1,$A552&amp;" "&amp;$B552)),MAX($N$3:N551)+1,""))</f>
        <v/>
      </c>
    </row>
    <row r="553" spans="1:14" x14ac:dyDescent="0.25">
      <c r="A553" s="21" t="s">
        <v>1279</v>
      </c>
      <c r="B553" s="22" t="s">
        <v>1280</v>
      </c>
      <c r="C553" s="21"/>
      <c r="N553" t="str">
        <f>IF($B$1="","",IF(ISNUMBER(SEARCH($B$1,$A553&amp;" "&amp;$B553)),MAX($N$3:N552)+1,""))</f>
        <v/>
      </c>
    </row>
    <row r="554" spans="1:14" x14ac:dyDescent="0.25">
      <c r="A554" s="21" t="s">
        <v>1281</v>
      </c>
      <c r="B554" s="22" t="s">
        <v>1282</v>
      </c>
      <c r="C554" s="21"/>
      <c r="N554" t="str">
        <f>IF($B$1="","",IF(ISNUMBER(SEARCH($B$1,$A554&amp;" "&amp;$B554)),MAX($N$3:N553)+1,""))</f>
        <v/>
      </c>
    </row>
    <row r="555" spans="1:14" x14ac:dyDescent="0.25">
      <c r="A555" s="21" t="s">
        <v>1283</v>
      </c>
      <c r="B555" s="22" t="s">
        <v>1284</v>
      </c>
      <c r="C555" s="21"/>
      <c r="N555" t="str">
        <f>IF($B$1="","",IF(ISNUMBER(SEARCH($B$1,$A555&amp;" "&amp;$B555)),MAX($N$3:N554)+1,""))</f>
        <v/>
      </c>
    </row>
    <row r="556" spans="1:14" x14ac:dyDescent="0.25">
      <c r="A556" s="21" t="s">
        <v>1285</v>
      </c>
      <c r="B556" s="22" t="s">
        <v>1286</v>
      </c>
      <c r="C556" s="21"/>
      <c r="N556" t="str">
        <f>IF($B$1="","",IF(ISNUMBER(SEARCH($B$1,$A556&amp;" "&amp;$B556)),MAX($N$3:N555)+1,""))</f>
        <v/>
      </c>
    </row>
    <row r="557" spans="1:14" x14ac:dyDescent="0.25">
      <c r="A557" s="21" t="s">
        <v>1287</v>
      </c>
      <c r="B557" s="22" t="s">
        <v>1288</v>
      </c>
      <c r="C557" s="21"/>
      <c r="N557" t="str">
        <f>IF($B$1="","",IF(ISNUMBER(SEARCH($B$1,$A557&amp;" "&amp;$B557)),MAX($N$3:N556)+1,""))</f>
        <v/>
      </c>
    </row>
    <row r="558" spans="1:14" x14ac:dyDescent="0.25">
      <c r="A558" s="21" t="s">
        <v>1289</v>
      </c>
      <c r="B558" s="22" t="s">
        <v>1290</v>
      </c>
      <c r="C558" s="21"/>
      <c r="N558" t="str">
        <f>IF($B$1="","",IF(ISNUMBER(SEARCH($B$1,$A558&amp;" "&amp;$B558)),MAX($N$3:N557)+1,""))</f>
        <v/>
      </c>
    </row>
    <row r="559" spans="1:14" x14ac:dyDescent="0.25">
      <c r="A559" s="21" t="s">
        <v>1291</v>
      </c>
      <c r="B559" s="22" t="s">
        <v>1292</v>
      </c>
      <c r="C559" s="21"/>
      <c r="N559" t="str">
        <f>IF($B$1="","",IF(ISNUMBER(SEARCH($B$1,$A559&amp;" "&amp;$B559)),MAX($N$3:N558)+1,""))</f>
        <v/>
      </c>
    </row>
    <row r="560" spans="1:14" x14ac:dyDescent="0.25">
      <c r="A560" s="21" t="s">
        <v>1293</v>
      </c>
      <c r="B560" s="22" t="s">
        <v>1294</v>
      </c>
      <c r="C560" s="21"/>
      <c r="N560" t="str">
        <f>IF($B$1="","",IF(ISNUMBER(SEARCH($B$1,$A560&amp;" "&amp;$B560)),MAX($N$3:N559)+1,""))</f>
        <v/>
      </c>
    </row>
    <row r="561" spans="1:14" x14ac:dyDescent="0.25">
      <c r="A561" s="21" t="s">
        <v>1295</v>
      </c>
      <c r="B561" s="22" t="s">
        <v>1296</v>
      </c>
      <c r="C561" s="21"/>
      <c r="N561" t="str">
        <f>IF($B$1="","",IF(ISNUMBER(SEARCH($B$1,$A561&amp;" "&amp;$B561)),MAX($N$3:N560)+1,""))</f>
        <v/>
      </c>
    </row>
    <row r="562" spans="1:14" x14ac:dyDescent="0.25">
      <c r="A562" s="21" t="s">
        <v>1297</v>
      </c>
      <c r="B562" s="22" t="s">
        <v>1298</v>
      </c>
      <c r="C562" s="21"/>
      <c r="N562" t="str">
        <f>IF($B$1="","",IF(ISNUMBER(SEARCH($B$1,$A562&amp;" "&amp;$B562)),MAX($N$3:N561)+1,""))</f>
        <v/>
      </c>
    </row>
    <row r="563" spans="1:14" x14ac:dyDescent="0.25">
      <c r="A563" s="21" t="s">
        <v>1299</v>
      </c>
      <c r="B563" s="22" t="s">
        <v>1300</v>
      </c>
      <c r="C563" s="21"/>
      <c r="N563" t="str">
        <f>IF($B$1="","",IF(ISNUMBER(SEARCH($B$1,$A563&amp;" "&amp;$B563)),MAX($N$3:N562)+1,""))</f>
        <v/>
      </c>
    </row>
    <row r="564" spans="1:14" x14ac:dyDescent="0.25">
      <c r="A564" s="21" t="s">
        <v>1301</v>
      </c>
      <c r="B564" s="22" t="s">
        <v>1302</v>
      </c>
      <c r="C564" s="21"/>
      <c r="N564" t="str">
        <f>IF($B$1="","",IF(ISNUMBER(SEARCH($B$1,$A564&amp;" "&amp;$B564)),MAX($N$3:N563)+1,""))</f>
        <v/>
      </c>
    </row>
    <row r="565" spans="1:14" x14ac:dyDescent="0.25">
      <c r="A565" s="21" t="s">
        <v>1303</v>
      </c>
      <c r="B565" s="22" t="s">
        <v>1304</v>
      </c>
      <c r="C565" s="21"/>
      <c r="N565" t="str">
        <f>IF($B$1="","",IF(ISNUMBER(SEARCH($B$1,$A565&amp;" "&amp;$B565)),MAX($N$3:N564)+1,""))</f>
        <v/>
      </c>
    </row>
    <row r="566" spans="1:14" x14ac:dyDescent="0.25">
      <c r="A566" s="21" t="s">
        <v>1305</v>
      </c>
      <c r="B566" s="22" t="s">
        <v>1306</v>
      </c>
      <c r="C566" s="21"/>
      <c r="N566" t="str">
        <f>IF($B$1="","",IF(ISNUMBER(SEARCH($B$1,$A566&amp;" "&amp;$B566)),MAX($N$3:N565)+1,""))</f>
        <v/>
      </c>
    </row>
    <row r="567" spans="1:14" x14ac:dyDescent="0.25">
      <c r="A567" s="21" t="s">
        <v>1307</v>
      </c>
      <c r="B567" s="22" t="s">
        <v>1308</v>
      </c>
      <c r="C567" s="21"/>
      <c r="N567" t="str">
        <f>IF($B$1="","",IF(ISNUMBER(SEARCH($B$1,$A567&amp;" "&amp;$B567)),MAX($N$3:N566)+1,""))</f>
        <v/>
      </c>
    </row>
    <row r="568" spans="1:14" x14ac:dyDescent="0.25">
      <c r="A568" s="21" t="s">
        <v>1309</v>
      </c>
      <c r="B568" s="22" t="s">
        <v>1310</v>
      </c>
      <c r="C568" s="21"/>
      <c r="N568" t="str">
        <f>IF($B$1="","",IF(ISNUMBER(SEARCH($B$1,$A568&amp;" "&amp;$B568)),MAX($N$3:N567)+1,""))</f>
        <v/>
      </c>
    </row>
    <row r="569" spans="1:14" x14ac:dyDescent="0.25">
      <c r="A569" s="21" t="s">
        <v>1311</v>
      </c>
      <c r="B569" s="22" t="s">
        <v>1312</v>
      </c>
      <c r="C569" s="21"/>
      <c r="N569" t="str">
        <f>IF($B$1="","",IF(ISNUMBER(SEARCH($B$1,$A569&amp;" "&amp;$B569)),MAX($N$3:N568)+1,""))</f>
        <v/>
      </c>
    </row>
    <row r="570" spans="1:14" x14ac:dyDescent="0.25">
      <c r="A570" s="21" t="s">
        <v>1313</v>
      </c>
      <c r="B570" s="22" t="s">
        <v>1314</v>
      </c>
      <c r="C570" s="21"/>
      <c r="N570" t="str">
        <f>IF($B$1="","",IF(ISNUMBER(SEARCH($B$1,$A570&amp;" "&amp;$B570)),MAX($N$3:N569)+1,""))</f>
        <v/>
      </c>
    </row>
    <row r="571" spans="1:14" x14ac:dyDescent="0.25">
      <c r="A571" s="21" t="s">
        <v>1315</v>
      </c>
      <c r="B571" s="22" t="s">
        <v>1316</v>
      </c>
      <c r="C571" s="21"/>
      <c r="N571" t="str">
        <f>IF($B$1="","",IF(ISNUMBER(SEARCH($B$1,$A571&amp;" "&amp;$B571)),MAX($N$3:N570)+1,""))</f>
        <v/>
      </c>
    </row>
    <row r="572" spans="1:14" x14ac:dyDescent="0.25">
      <c r="A572" s="21" t="s">
        <v>1317</v>
      </c>
      <c r="B572" s="22" t="s">
        <v>1318</v>
      </c>
      <c r="C572" s="21"/>
      <c r="N572" t="str">
        <f>IF($B$1="","",IF(ISNUMBER(SEARCH($B$1,$A572&amp;" "&amp;$B572)),MAX($N$3:N571)+1,""))</f>
        <v/>
      </c>
    </row>
    <row r="573" spans="1:14" x14ac:dyDescent="0.25">
      <c r="A573" s="21" t="s">
        <v>1319</v>
      </c>
      <c r="B573" s="22" t="s">
        <v>1320</v>
      </c>
      <c r="C573" s="21"/>
      <c r="N573" t="str">
        <f>IF($B$1="","",IF(ISNUMBER(SEARCH($B$1,$A573&amp;" "&amp;$B573)),MAX($N$3:N572)+1,""))</f>
        <v/>
      </c>
    </row>
    <row r="574" spans="1:14" x14ac:dyDescent="0.25">
      <c r="A574" s="21" t="s">
        <v>1321</v>
      </c>
      <c r="B574" s="22" t="s">
        <v>1322</v>
      </c>
      <c r="C574" s="21"/>
      <c r="N574" t="str">
        <f>IF($B$1="","",IF(ISNUMBER(SEARCH($B$1,$A574&amp;" "&amp;$B574)),MAX($N$3:N573)+1,""))</f>
        <v/>
      </c>
    </row>
    <row r="575" spans="1:14" x14ac:dyDescent="0.25">
      <c r="A575" s="21" t="s">
        <v>1323</v>
      </c>
      <c r="B575" s="22" t="s">
        <v>1324</v>
      </c>
      <c r="C575" s="21"/>
      <c r="N575" t="str">
        <f>IF($B$1="","",IF(ISNUMBER(SEARCH($B$1,$A575&amp;" "&amp;$B575)),MAX($N$3:N574)+1,""))</f>
        <v/>
      </c>
    </row>
    <row r="576" spans="1:14" x14ac:dyDescent="0.25">
      <c r="A576" s="21" t="s">
        <v>1325</v>
      </c>
      <c r="B576" s="22" t="s">
        <v>1326</v>
      </c>
      <c r="C576" s="21"/>
      <c r="N576" t="str">
        <f>IF($B$1="","",IF(ISNUMBER(SEARCH($B$1,$A576&amp;" "&amp;$B576)),MAX($N$3:N575)+1,""))</f>
        <v/>
      </c>
    </row>
    <row r="577" spans="1:14" x14ac:dyDescent="0.25">
      <c r="A577" s="21" t="s">
        <v>1327</v>
      </c>
      <c r="B577" s="22" t="s">
        <v>1328</v>
      </c>
      <c r="C577" s="21"/>
      <c r="N577" t="str">
        <f>IF($B$1="","",IF(ISNUMBER(SEARCH($B$1,$A577&amp;" "&amp;$B577)),MAX($N$3:N576)+1,""))</f>
        <v/>
      </c>
    </row>
    <row r="578" spans="1:14" x14ac:dyDescent="0.25">
      <c r="A578" s="21" t="s">
        <v>1329</v>
      </c>
      <c r="B578" s="22" t="s">
        <v>1330</v>
      </c>
      <c r="C578" s="21"/>
      <c r="N578" t="str">
        <f>IF($B$1="","",IF(ISNUMBER(SEARCH($B$1,$A578&amp;" "&amp;$B578)),MAX($N$3:N577)+1,""))</f>
        <v/>
      </c>
    </row>
    <row r="579" spans="1:14" x14ac:dyDescent="0.25">
      <c r="A579" s="21" t="s">
        <v>1331</v>
      </c>
      <c r="B579" s="22" t="s">
        <v>1332</v>
      </c>
      <c r="C579" s="21"/>
      <c r="N579" t="str">
        <f>IF($B$1="","",IF(ISNUMBER(SEARCH($B$1,$A579&amp;" "&amp;$B579)),MAX($N$3:N578)+1,""))</f>
        <v/>
      </c>
    </row>
    <row r="580" spans="1:14" x14ac:dyDescent="0.25">
      <c r="A580" s="21" t="s">
        <v>1333</v>
      </c>
      <c r="B580" s="22" t="s">
        <v>1334</v>
      </c>
      <c r="C580" s="21"/>
      <c r="N580" t="str">
        <f>IF($B$1="","",IF(ISNUMBER(SEARCH($B$1,$A580&amp;" "&amp;$B580)),MAX($N$3:N579)+1,""))</f>
        <v/>
      </c>
    </row>
    <row r="581" spans="1:14" x14ac:dyDescent="0.25">
      <c r="A581" s="21" t="s">
        <v>1335</v>
      </c>
      <c r="B581" s="22" t="s">
        <v>1336</v>
      </c>
      <c r="C581" s="21"/>
      <c r="N581" t="str">
        <f>IF($B$1="","",IF(ISNUMBER(SEARCH($B$1,$A581&amp;" "&amp;$B581)),MAX($N$3:N580)+1,""))</f>
        <v/>
      </c>
    </row>
    <row r="582" spans="1:14" x14ac:dyDescent="0.25">
      <c r="A582" s="21" t="s">
        <v>1337</v>
      </c>
      <c r="B582" s="22" t="s">
        <v>1338</v>
      </c>
      <c r="C582" s="21"/>
      <c r="N582" t="str">
        <f>IF($B$1="","",IF(ISNUMBER(SEARCH($B$1,$A582&amp;" "&amp;$B582)),MAX($N$3:N581)+1,""))</f>
        <v/>
      </c>
    </row>
    <row r="583" spans="1:14" x14ac:dyDescent="0.25">
      <c r="A583" s="21" t="s">
        <v>1339</v>
      </c>
      <c r="B583" s="22" t="s">
        <v>11</v>
      </c>
      <c r="C583" s="21"/>
      <c r="N583" t="str">
        <f>IF($B$1="","",IF(ISNUMBER(SEARCH($B$1,$A583&amp;" "&amp;$B583)),MAX($N$3:N582)+1,""))</f>
        <v/>
      </c>
    </row>
    <row r="584" spans="1:14" x14ac:dyDescent="0.25">
      <c r="A584" s="21" t="s">
        <v>1340</v>
      </c>
      <c r="B584" s="22" t="s">
        <v>1341</v>
      </c>
      <c r="C584" s="21"/>
      <c r="N584" t="str">
        <f>IF($B$1="","",IF(ISNUMBER(SEARCH($B$1,$A584&amp;" "&amp;$B584)),MAX($N$3:N583)+1,""))</f>
        <v/>
      </c>
    </row>
    <row r="585" spans="1:14" x14ac:dyDescent="0.25">
      <c r="A585" s="21" t="s">
        <v>1342</v>
      </c>
      <c r="B585" s="22" t="s">
        <v>1343</v>
      </c>
      <c r="C585" s="21"/>
      <c r="N585" t="str">
        <f>IF($B$1="","",IF(ISNUMBER(SEARCH($B$1,$A585&amp;" "&amp;$B585)),MAX($N$3:N584)+1,""))</f>
        <v/>
      </c>
    </row>
    <row r="586" spans="1:14" x14ac:dyDescent="0.25">
      <c r="A586" s="21" t="s">
        <v>1344</v>
      </c>
      <c r="B586" s="22" t="s">
        <v>1345</v>
      </c>
      <c r="C586" s="21"/>
      <c r="N586" t="str">
        <f>IF($B$1="","",IF(ISNUMBER(SEARCH($B$1,$A586&amp;" "&amp;$B586)),MAX($N$3:N585)+1,""))</f>
        <v/>
      </c>
    </row>
    <row r="587" spans="1:14" x14ac:dyDescent="0.25">
      <c r="A587" s="21" t="s">
        <v>1346</v>
      </c>
      <c r="B587" s="22" t="s">
        <v>1347</v>
      </c>
      <c r="C587" s="21"/>
      <c r="N587" t="str">
        <f>IF($B$1="","",IF(ISNUMBER(SEARCH($B$1,$A587&amp;" "&amp;$B587)),MAX($N$3:N586)+1,""))</f>
        <v/>
      </c>
    </row>
    <row r="588" spans="1:14" x14ac:dyDescent="0.25">
      <c r="A588" s="21" t="s">
        <v>1348</v>
      </c>
      <c r="B588" s="22" t="s">
        <v>1349</v>
      </c>
      <c r="C588" s="21"/>
      <c r="N588" t="str">
        <f>IF($B$1="","",IF(ISNUMBER(SEARCH($B$1,$A588&amp;" "&amp;$B588)),MAX($N$3:N587)+1,""))</f>
        <v/>
      </c>
    </row>
    <row r="589" spans="1:14" x14ac:dyDescent="0.25">
      <c r="A589" s="21" t="s">
        <v>1350</v>
      </c>
      <c r="B589" s="22" t="s">
        <v>1351</v>
      </c>
      <c r="C589" s="21"/>
      <c r="N589" t="str">
        <f>IF($B$1="","",IF(ISNUMBER(SEARCH($B$1,$A589&amp;" "&amp;$B589)),MAX($N$3:N588)+1,""))</f>
        <v/>
      </c>
    </row>
    <row r="590" spans="1:14" x14ac:dyDescent="0.25">
      <c r="A590" s="21" t="s">
        <v>1352</v>
      </c>
      <c r="B590" s="22" t="s">
        <v>1353</v>
      </c>
      <c r="C590" s="21"/>
      <c r="N590" t="str">
        <f>IF($B$1="","",IF(ISNUMBER(SEARCH($B$1,$A590&amp;" "&amp;$B590)),MAX($N$3:N589)+1,""))</f>
        <v/>
      </c>
    </row>
    <row r="591" spans="1:14" x14ac:dyDescent="0.25">
      <c r="A591" s="21" t="s">
        <v>1354</v>
      </c>
      <c r="B591" s="22" t="s">
        <v>1355</v>
      </c>
      <c r="C591" s="21"/>
      <c r="N591" t="str">
        <f>IF($B$1="","",IF(ISNUMBER(SEARCH($B$1,$A591&amp;" "&amp;$B591)),MAX($N$3:N590)+1,""))</f>
        <v/>
      </c>
    </row>
    <row r="592" spans="1:14" x14ac:dyDescent="0.25">
      <c r="A592" s="21" t="s">
        <v>1356</v>
      </c>
      <c r="B592" s="22" t="s">
        <v>1357</v>
      </c>
      <c r="C592" s="21"/>
      <c r="N592" t="str">
        <f>IF($B$1="","",IF(ISNUMBER(SEARCH($B$1,$A592&amp;" "&amp;$B592)),MAX($N$3:N591)+1,""))</f>
        <v/>
      </c>
    </row>
    <row r="593" spans="1:14" x14ac:dyDescent="0.25">
      <c r="A593" s="21" t="s">
        <v>1358</v>
      </c>
      <c r="B593" s="22" t="s">
        <v>1359</v>
      </c>
      <c r="C593" s="21"/>
      <c r="N593" t="str">
        <f>IF($B$1="","",IF(ISNUMBER(SEARCH($B$1,$A593&amp;" "&amp;$B593)),MAX($N$3:N592)+1,""))</f>
        <v/>
      </c>
    </row>
    <row r="594" spans="1:14" x14ac:dyDescent="0.25">
      <c r="A594" s="21" t="s">
        <v>1360</v>
      </c>
      <c r="B594" s="22" t="s">
        <v>1361</v>
      </c>
      <c r="C594" s="21"/>
      <c r="N594" t="str">
        <f>IF($B$1="","",IF(ISNUMBER(SEARCH($B$1,$A594&amp;" "&amp;$B594)),MAX($N$3:N593)+1,""))</f>
        <v/>
      </c>
    </row>
    <row r="595" spans="1:14" x14ac:dyDescent="0.25">
      <c r="A595" s="21" t="s">
        <v>1362</v>
      </c>
      <c r="B595" s="22" t="s">
        <v>1363</v>
      </c>
      <c r="C595" s="21"/>
      <c r="N595" t="str">
        <f>IF($B$1="","",IF(ISNUMBER(SEARCH($B$1,$A595&amp;" "&amp;$B595)),MAX($N$3:N594)+1,""))</f>
        <v/>
      </c>
    </row>
    <row r="596" spans="1:14" x14ac:dyDescent="0.25">
      <c r="A596" s="21" t="s">
        <v>1364</v>
      </c>
      <c r="B596" s="22" t="s">
        <v>1365</v>
      </c>
      <c r="C596" s="21"/>
      <c r="N596" t="str">
        <f>IF($B$1="","",IF(ISNUMBER(SEARCH($B$1,$A596&amp;" "&amp;$B596)),MAX($N$3:N595)+1,""))</f>
        <v/>
      </c>
    </row>
    <row r="597" spans="1:14" x14ac:dyDescent="0.25">
      <c r="A597" s="21" t="s">
        <v>1366</v>
      </c>
      <c r="B597" s="22" t="s">
        <v>1367</v>
      </c>
      <c r="C597" s="21"/>
      <c r="N597" t="str">
        <f>IF($B$1="","",IF(ISNUMBER(SEARCH($B$1,$A597&amp;" "&amp;$B597)),MAX($N$3:N596)+1,""))</f>
        <v/>
      </c>
    </row>
    <row r="598" spans="1:14" x14ac:dyDescent="0.25">
      <c r="A598" s="21" t="s">
        <v>1368</v>
      </c>
      <c r="B598" s="22" t="s">
        <v>1369</v>
      </c>
      <c r="C598" s="21"/>
      <c r="N598" t="str">
        <f>IF($B$1="","",IF(ISNUMBER(SEARCH($B$1,$A598&amp;" "&amp;$B598)),MAX($N$3:N597)+1,""))</f>
        <v/>
      </c>
    </row>
    <row r="599" spans="1:14" x14ac:dyDescent="0.25">
      <c r="A599" s="21" t="s">
        <v>1370</v>
      </c>
      <c r="B599" s="22" t="s">
        <v>1371</v>
      </c>
      <c r="C599" s="21"/>
      <c r="N599" t="str">
        <f>IF($B$1="","",IF(ISNUMBER(SEARCH($B$1,$A599&amp;" "&amp;$B599)),MAX($N$3:N598)+1,""))</f>
        <v/>
      </c>
    </row>
    <row r="600" spans="1:14" x14ac:dyDescent="0.25">
      <c r="A600" s="21" t="s">
        <v>1372</v>
      </c>
      <c r="B600" s="22" t="s">
        <v>1373</v>
      </c>
      <c r="C600" s="21"/>
      <c r="N600" t="str">
        <f>IF($B$1="","",IF(ISNUMBER(SEARCH($B$1,$A600&amp;" "&amp;$B600)),MAX($N$3:N599)+1,""))</f>
        <v/>
      </c>
    </row>
    <row r="601" spans="1:14" x14ac:dyDescent="0.25">
      <c r="A601" s="21" t="s">
        <v>1374</v>
      </c>
      <c r="B601" s="22" t="s">
        <v>1375</v>
      </c>
      <c r="C601" s="21"/>
      <c r="N601" t="str">
        <f>IF($B$1="","",IF(ISNUMBER(SEARCH($B$1,$A601&amp;" "&amp;$B601)),MAX($N$3:N600)+1,""))</f>
        <v/>
      </c>
    </row>
    <row r="602" spans="1:14" x14ac:dyDescent="0.25">
      <c r="A602" s="21" t="s">
        <v>1376</v>
      </c>
      <c r="B602" s="22" t="s">
        <v>1377</v>
      </c>
      <c r="C602" s="21"/>
      <c r="N602" t="str">
        <f>IF($B$1="","",IF(ISNUMBER(SEARCH($B$1,$A602&amp;" "&amp;$B602)),MAX($N$3:N601)+1,""))</f>
        <v/>
      </c>
    </row>
    <row r="603" spans="1:14" x14ac:dyDescent="0.25">
      <c r="A603" s="21" t="s">
        <v>1378</v>
      </c>
      <c r="B603" s="22" t="s">
        <v>1379</v>
      </c>
      <c r="C603" s="21"/>
      <c r="N603" t="str">
        <f>IF($B$1="","",IF(ISNUMBER(SEARCH($B$1,$A603&amp;" "&amp;$B603)),MAX($N$3:N602)+1,""))</f>
        <v/>
      </c>
    </row>
    <row r="604" spans="1:14" x14ac:dyDescent="0.25">
      <c r="A604" s="21" t="s">
        <v>1380</v>
      </c>
      <c r="B604" s="22" t="s">
        <v>1381</v>
      </c>
      <c r="C604" s="21"/>
      <c r="N604" t="str">
        <f>IF($B$1="","",IF(ISNUMBER(SEARCH($B$1,$A604&amp;" "&amp;$B604)),MAX($N$3:N603)+1,""))</f>
        <v/>
      </c>
    </row>
    <row r="605" spans="1:14" x14ac:dyDescent="0.25">
      <c r="A605" s="21" t="s">
        <v>1382</v>
      </c>
      <c r="B605" s="22" t="s">
        <v>1383</v>
      </c>
      <c r="C605" s="21"/>
      <c r="N605" t="str">
        <f>IF($B$1="","",IF(ISNUMBER(SEARCH($B$1,$A605&amp;" "&amp;$B605)),MAX($N$3:N604)+1,""))</f>
        <v/>
      </c>
    </row>
    <row r="606" spans="1:14" x14ac:dyDescent="0.25">
      <c r="A606" s="21" t="s">
        <v>1384</v>
      </c>
      <c r="B606" s="22" t="s">
        <v>1385</v>
      </c>
      <c r="C606" s="21"/>
      <c r="N606" t="str">
        <f>IF($B$1="","",IF(ISNUMBER(SEARCH($B$1,$A606&amp;" "&amp;$B606)),MAX($N$3:N605)+1,""))</f>
        <v/>
      </c>
    </row>
    <row r="607" spans="1:14" x14ac:dyDescent="0.25">
      <c r="A607" s="21" t="s">
        <v>1386</v>
      </c>
      <c r="B607" s="22" t="s">
        <v>1387</v>
      </c>
      <c r="C607" s="21"/>
      <c r="N607" t="str">
        <f>IF($B$1="","",IF(ISNUMBER(SEARCH($B$1,$A607&amp;" "&amp;$B607)),MAX($N$3:N606)+1,""))</f>
        <v/>
      </c>
    </row>
    <row r="608" spans="1:14" x14ac:dyDescent="0.25">
      <c r="A608" s="21" t="s">
        <v>1388</v>
      </c>
      <c r="B608" s="22" t="s">
        <v>1389</v>
      </c>
      <c r="C608" s="21"/>
      <c r="N608" t="str">
        <f>IF($B$1="","",IF(ISNUMBER(SEARCH($B$1,$A608&amp;" "&amp;$B608)),MAX($N$3:N607)+1,""))</f>
        <v/>
      </c>
    </row>
    <row r="609" spans="1:14" x14ac:dyDescent="0.25">
      <c r="A609" s="21" t="s">
        <v>1390</v>
      </c>
      <c r="B609" s="22" t="s">
        <v>1391</v>
      </c>
      <c r="C609" s="21"/>
      <c r="N609" t="str">
        <f>IF($B$1="","",IF(ISNUMBER(SEARCH($B$1,$A609&amp;" "&amp;$B609)),MAX($N$3:N608)+1,""))</f>
        <v/>
      </c>
    </row>
    <row r="610" spans="1:14" x14ac:dyDescent="0.25">
      <c r="A610" s="21" t="s">
        <v>1392</v>
      </c>
      <c r="B610" s="22" t="s">
        <v>1393</v>
      </c>
      <c r="C610" s="21"/>
      <c r="N610" t="str">
        <f>IF($B$1="","",IF(ISNUMBER(SEARCH($B$1,$A610&amp;" "&amp;$B610)),MAX($N$3:N609)+1,""))</f>
        <v/>
      </c>
    </row>
    <row r="611" spans="1:14" x14ac:dyDescent="0.25">
      <c r="A611" s="21" t="s">
        <v>1394</v>
      </c>
      <c r="B611" s="22" t="s">
        <v>1395</v>
      </c>
      <c r="C611" s="21"/>
      <c r="N611" t="str">
        <f>IF($B$1="","",IF(ISNUMBER(SEARCH($B$1,$A611&amp;" "&amp;$B611)),MAX($N$3:N610)+1,""))</f>
        <v/>
      </c>
    </row>
    <row r="612" spans="1:14" x14ac:dyDescent="0.25">
      <c r="A612" s="21" t="s">
        <v>1396</v>
      </c>
      <c r="B612" s="22" t="s">
        <v>1397</v>
      </c>
      <c r="C612" s="21"/>
      <c r="N612" t="str">
        <f>IF($B$1="","",IF(ISNUMBER(SEARCH($B$1,$A612&amp;" "&amp;$B612)),MAX($N$3:N611)+1,""))</f>
        <v/>
      </c>
    </row>
    <row r="613" spans="1:14" x14ac:dyDescent="0.25">
      <c r="A613" s="21" t="s">
        <v>1398</v>
      </c>
      <c r="B613" s="22" t="s">
        <v>1399</v>
      </c>
      <c r="C613" s="21"/>
      <c r="N613" t="str">
        <f>IF($B$1="","",IF(ISNUMBER(SEARCH($B$1,$A613&amp;" "&amp;$B613)),MAX($N$3:N612)+1,""))</f>
        <v/>
      </c>
    </row>
    <row r="614" spans="1:14" x14ac:dyDescent="0.25">
      <c r="A614" s="21" t="s">
        <v>1400</v>
      </c>
      <c r="B614" s="22" t="s">
        <v>1401</v>
      </c>
      <c r="C614" s="21"/>
      <c r="N614" t="str">
        <f>IF($B$1="","",IF(ISNUMBER(SEARCH($B$1,$A614&amp;" "&amp;$B614)),MAX($N$3:N613)+1,""))</f>
        <v/>
      </c>
    </row>
    <row r="615" spans="1:14" x14ac:dyDescent="0.25">
      <c r="A615" s="21" t="s">
        <v>1402</v>
      </c>
      <c r="B615" s="22" t="s">
        <v>1403</v>
      </c>
      <c r="C615" s="21"/>
      <c r="N615" t="str">
        <f>IF($B$1="","",IF(ISNUMBER(SEARCH($B$1,$A615&amp;" "&amp;$B615)),MAX($N$3:N614)+1,""))</f>
        <v/>
      </c>
    </row>
    <row r="616" spans="1:14" x14ac:dyDescent="0.25">
      <c r="A616" s="21" t="s">
        <v>1404</v>
      </c>
      <c r="B616" s="22" t="s">
        <v>1405</v>
      </c>
      <c r="C616" s="21"/>
      <c r="N616" t="str">
        <f>IF($B$1="","",IF(ISNUMBER(SEARCH($B$1,$A616&amp;" "&amp;$B616)),MAX($N$3:N615)+1,""))</f>
        <v/>
      </c>
    </row>
    <row r="617" spans="1:14" x14ac:dyDescent="0.25">
      <c r="A617" s="21" t="s">
        <v>1406</v>
      </c>
      <c r="B617" s="22" t="s">
        <v>1407</v>
      </c>
      <c r="C617" s="21"/>
      <c r="N617" t="str">
        <f>IF($B$1="","",IF(ISNUMBER(SEARCH($B$1,$A617&amp;" "&amp;$B617)),MAX($N$3:N616)+1,""))</f>
        <v/>
      </c>
    </row>
    <row r="618" spans="1:14" x14ac:dyDescent="0.25">
      <c r="A618" s="21" t="s">
        <v>1408</v>
      </c>
      <c r="B618" s="22" t="s">
        <v>1409</v>
      </c>
      <c r="C618" s="21"/>
      <c r="N618" t="str">
        <f>IF($B$1="","",IF(ISNUMBER(SEARCH($B$1,$A618&amp;" "&amp;$B618)),MAX($N$3:N617)+1,""))</f>
        <v/>
      </c>
    </row>
    <row r="619" spans="1:14" x14ac:dyDescent="0.25">
      <c r="A619" s="21" t="s">
        <v>1410</v>
      </c>
      <c r="B619" s="22" t="s">
        <v>1411</v>
      </c>
      <c r="C619" s="21"/>
      <c r="N619" t="str">
        <f>IF($B$1="","",IF(ISNUMBER(SEARCH($B$1,$A619&amp;" "&amp;$B619)),MAX($N$3:N618)+1,""))</f>
        <v/>
      </c>
    </row>
    <row r="620" spans="1:14" x14ac:dyDescent="0.25">
      <c r="A620" s="21" t="s">
        <v>1412</v>
      </c>
      <c r="B620" s="22" t="s">
        <v>1413</v>
      </c>
      <c r="C620" s="21"/>
      <c r="N620" t="str">
        <f>IF($B$1="","",IF(ISNUMBER(SEARCH($B$1,$A620&amp;" "&amp;$B620)),MAX($N$3:N619)+1,""))</f>
        <v/>
      </c>
    </row>
    <row r="621" spans="1:14" x14ac:dyDescent="0.25">
      <c r="A621" s="21" t="s">
        <v>1414</v>
      </c>
      <c r="B621" s="22" t="s">
        <v>1415</v>
      </c>
      <c r="C621" s="21"/>
      <c r="N621" t="str">
        <f>IF($B$1="","",IF(ISNUMBER(SEARCH($B$1,$A621&amp;" "&amp;$B621)),MAX($N$3:N620)+1,""))</f>
        <v/>
      </c>
    </row>
    <row r="622" spans="1:14" x14ac:dyDescent="0.25">
      <c r="A622" s="21" t="s">
        <v>1416</v>
      </c>
      <c r="B622" s="22" t="s">
        <v>1417</v>
      </c>
      <c r="C622" s="21"/>
      <c r="N622" t="str">
        <f>IF($B$1="","",IF(ISNUMBER(SEARCH($B$1,$A622&amp;" "&amp;$B622)),MAX($N$3:N621)+1,""))</f>
        <v/>
      </c>
    </row>
    <row r="623" spans="1:14" x14ac:dyDescent="0.25">
      <c r="A623" s="21" t="s">
        <v>1418</v>
      </c>
      <c r="B623" s="22" t="s">
        <v>1419</v>
      </c>
      <c r="C623" s="21"/>
      <c r="N623" t="str">
        <f>IF($B$1="","",IF(ISNUMBER(SEARCH($B$1,$A623&amp;" "&amp;$B623)),MAX($N$3:N622)+1,""))</f>
        <v/>
      </c>
    </row>
    <row r="624" spans="1:14" x14ac:dyDescent="0.25">
      <c r="A624" s="21" t="s">
        <v>1420</v>
      </c>
      <c r="B624" s="22" t="s">
        <v>1421</v>
      </c>
      <c r="C624" s="21"/>
      <c r="N624" t="str">
        <f>IF($B$1="","",IF(ISNUMBER(SEARCH($B$1,$A624&amp;" "&amp;$B624)),MAX($N$3:N623)+1,""))</f>
        <v/>
      </c>
    </row>
    <row r="625" spans="1:14" x14ac:dyDescent="0.25">
      <c r="A625" s="21" t="s">
        <v>1422</v>
      </c>
      <c r="B625" s="22" t="s">
        <v>1423</v>
      </c>
      <c r="C625" s="21"/>
      <c r="N625" t="str">
        <f>IF($B$1="","",IF(ISNUMBER(SEARCH($B$1,$A625&amp;" "&amp;$B625)),MAX($N$3:N624)+1,""))</f>
        <v/>
      </c>
    </row>
    <row r="626" spans="1:14" x14ac:dyDescent="0.25">
      <c r="A626" s="21" t="s">
        <v>1424</v>
      </c>
      <c r="B626" s="22" t="s">
        <v>1425</v>
      </c>
      <c r="C626" s="21"/>
      <c r="N626" t="str">
        <f>IF($B$1="","",IF(ISNUMBER(SEARCH($B$1,$A626&amp;" "&amp;$B626)),MAX($N$3:N625)+1,""))</f>
        <v/>
      </c>
    </row>
    <row r="627" spans="1:14" x14ac:dyDescent="0.25">
      <c r="A627" s="21" t="s">
        <v>1426</v>
      </c>
      <c r="B627" s="22" t="s">
        <v>1427</v>
      </c>
      <c r="C627" s="21"/>
      <c r="N627" t="str">
        <f>IF($B$1="","",IF(ISNUMBER(SEARCH($B$1,$A627&amp;" "&amp;$B627)),MAX($N$3:N626)+1,""))</f>
        <v/>
      </c>
    </row>
    <row r="628" spans="1:14" x14ac:dyDescent="0.25">
      <c r="A628" s="21" t="s">
        <v>1428</v>
      </c>
      <c r="B628" s="22" t="s">
        <v>1429</v>
      </c>
      <c r="C628" s="21"/>
      <c r="N628" t="str">
        <f>IF($B$1="","",IF(ISNUMBER(SEARCH($B$1,$A628&amp;" "&amp;$B628)),MAX($N$3:N627)+1,""))</f>
        <v/>
      </c>
    </row>
    <row r="629" spans="1:14" x14ac:dyDescent="0.25">
      <c r="A629" s="21" t="s">
        <v>1430</v>
      </c>
      <c r="B629" s="22" t="s">
        <v>1431</v>
      </c>
      <c r="C629" s="21"/>
      <c r="N629" t="str">
        <f>IF($B$1="","",IF(ISNUMBER(SEARCH($B$1,$A629&amp;" "&amp;$B629)),MAX($N$3:N628)+1,""))</f>
        <v/>
      </c>
    </row>
    <row r="630" spans="1:14" x14ac:dyDescent="0.25">
      <c r="A630" s="21" t="s">
        <v>1432</v>
      </c>
      <c r="B630" s="22" t="s">
        <v>1433</v>
      </c>
      <c r="C630" s="21"/>
      <c r="N630" t="str">
        <f>IF($B$1="","",IF(ISNUMBER(SEARCH($B$1,$A630&amp;" "&amp;$B630)),MAX($N$3:N629)+1,""))</f>
        <v/>
      </c>
    </row>
    <row r="631" spans="1:14" x14ac:dyDescent="0.25">
      <c r="A631" s="21" t="s">
        <v>1434</v>
      </c>
      <c r="B631" s="22" t="s">
        <v>1435</v>
      </c>
      <c r="C631" s="21"/>
      <c r="N631" t="str">
        <f>IF($B$1="","",IF(ISNUMBER(SEARCH($B$1,$A631&amp;" "&amp;$B631)),MAX($N$3:N630)+1,""))</f>
        <v/>
      </c>
    </row>
    <row r="632" spans="1:14" x14ac:dyDescent="0.25">
      <c r="A632" s="21" t="s">
        <v>1436</v>
      </c>
      <c r="B632" s="22" t="s">
        <v>1437</v>
      </c>
      <c r="C632" s="21"/>
      <c r="N632" t="str">
        <f>IF($B$1="","",IF(ISNUMBER(SEARCH($B$1,$A632&amp;" "&amp;$B632)),MAX($N$3:N631)+1,""))</f>
        <v/>
      </c>
    </row>
    <row r="633" spans="1:14" x14ac:dyDescent="0.25">
      <c r="A633" s="21" t="s">
        <v>1438</v>
      </c>
      <c r="B633" s="22" t="s">
        <v>1439</v>
      </c>
      <c r="C633" s="21"/>
      <c r="N633" t="str">
        <f>IF($B$1="","",IF(ISNUMBER(SEARCH($B$1,$A633&amp;" "&amp;$B633)),MAX($N$3:N632)+1,""))</f>
        <v/>
      </c>
    </row>
    <row r="634" spans="1:14" x14ac:dyDescent="0.25">
      <c r="A634" s="21" t="s">
        <v>1440</v>
      </c>
      <c r="B634" s="22" t="s">
        <v>1441</v>
      </c>
      <c r="C634" s="21"/>
      <c r="N634" t="str">
        <f>IF($B$1="","",IF(ISNUMBER(SEARCH($B$1,$A634&amp;" "&amp;$B634)),MAX($N$3:N633)+1,""))</f>
        <v/>
      </c>
    </row>
    <row r="635" spans="1:14" x14ac:dyDescent="0.25">
      <c r="A635" s="21" t="s">
        <v>1442</v>
      </c>
      <c r="B635" s="22" t="s">
        <v>1443</v>
      </c>
      <c r="C635" s="21"/>
      <c r="N635" t="str">
        <f>IF($B$1="","",IF(ISNUMBER(SEARCH($B$1,$A635&amp;" "&amp;$B635)),MAX($N$3:N634)+1,""))</f>
        <v/>
      </c>
    </row>
    <row r="636" spans="1:14" x14ac:dyDescent="0.25">
      <c r="A636" s="21" t="s">
        <v>1444</v>
      </c>
      <c r="B636" s="22" t="s">
        <v>1445</v>
      </c>
      <c r="C636" s="21"/>
      <c r="N636" t="str">
        <f>IF($B$1="","",IF(ISNUMBER(SEARCH($B$1,$A636&amp;" "&amp;$B636)),MAX($N$3:N635)+1,""))</f>
        <v/>
      </c>
    </row>
    <row r="637" spans="1:14" x14ac:dyDescent="0.25">
      <c r="A637" s="21" t="s">
        <v>1446</v>
      </c>
      <c r="B637" s="22" t="s">
        <v>1447</v>
      </c>
      <c r="C637" s="21"/>
      <c r="N637" t="str">
        <f>IF($B$1="","",IF(ISNUMBER(SEARCH($B$1,$A637&amp;" "&amp;$B637)),MAX($N$3:N636)+1,""))</f>
        <v/>
      </c>
    </row>
    <row r="638" spans="1:14" x14ac:dyDescent="0.25">
      <c r="A638" s="21" t="s">
        <v>1448</v>
      </c>
      <c r="B638" s="22" t="s">
        <v>1449</v>
      </c>
      <c r="C638" s="21"/>
      <c r="N638" t="str">
        <f>IF($B$1="","",IF(ISNUMBER(SEARCH($B$1,$A638&amp;" "&amp;$B638)),MAX($N$3:N637)+1,""))</f>
        <v/>
      </c>
    </row>
    <row r="639" spans="1:14" x14ac:dyDescent="0.25">
      <c r="A639" s="21" t="s">
        <v>1450</v>
      </c>
      <c r="B639" s="22" t="s">
        <v>1451</v>
      </c>
      <c r="C639" s="21"/>
      <c r="N639" t="str">
        <f>IF($B$1="","",IF(ISNUMBER(SEARCH($B$1,$A639&amp;" "&amp;$B639)),MAX($N$3:N638)+1,""))</f>
        <v/>
      </c>
    </row>
    <row r="640" spans="1:14" x14ac:dyDescent="0.25">
      <c r="A640" s="21" t="s">
        <v>1452</v>
      </c>
      <c r="B640" s="22" t="s">
        <v>1453</v>
      </c>
      <c r="C640" s="21"/>
      <c r="N640" t="str">
        <f>IF($B$1="","",IF(ISNUMBER(SEARCH($B$1,$A640&amp;" "&amp;$B640)),MAX($N$3:N639)+1,""))</f>
        <v/>
      </c>
    </row>
    <row r="641" spans="1:14" x14ac:dyDescent="0.25">
      <c r="A641" s="21" t="s">
        <v>1454</v>
      </c>
      <c r="B641" s="22" t="s">
        <v>1455</v>
      </c>
      <c r="C641" s="21"/>
      <c r="N641" t="str">
        <f>IF($B$1="","",IF(ISNUMBER(SEARCH($B$1,$A641&amp;" "&amp;$B641)),MAX($N$3:N640)+1,""))</f>
        <v/>
      </c>
    </row>
    <row r="642" spans="1:14" x14ac:dyDescent="0.25">
      <c r="A642" s="21" t="s">
        <v>1456</v>
      </c>
      <c r="B642" s="22" t="s">
        <v>1457</v>
      </c>
      <c r="C642" s="21"/>
      <c r="N642" t="str">
        <f>IF($B$1="","",IF(ISNUMBER(SEARCH($B$1,$A642&amp;" "&amp;$B642)),MAX($N$3:N641)+1,""))</f>
        <v/>
      </c>
    </row>
    <row r="643" spans="1:14" x14ac:dyDescent="0.25">
      <c r="A643" s="21" t="s">
        <v>1458</v>
      </c>
      <c r="B643" s="22" t="s">
        <v>1459</v>
      </c>
      <c r="C643" s="21"/>
      <c r="N643" t="str">
        <f>IF($B$1="","",IF(ISNUMBER(SEARCH($B$1,$A643&amp;" "&amp;$B643)),MAX($N$3:N642)+1,""))</f>
        <v/>
      </c>
    </row>
    <row r="644" spans="1:14" x14ac:dyDescent="0.25">
      <c r="A644" s="21" t="s">
        <v>1460</v>
      </c>
      <c r="B644" s="22" t="s">
        <v>1461</v>
      </c>
      <c r="C644" s="21"/>
      <c r="N644" t="str">
        <f>IF($B$1="","",IF(ISNUMBER(SEARCH($B$1,$A644&amp;" "&amp;$B644)),MAX($N$3:N643)+1,""))</f>
        <v/>
      </c>
    </row>
    <row r="645" spans="1:14" x14ac:dyDescent="0.25">
      <c r="A645" s="21" t="s">
        <v>1462</v>
      </c>
      <c r="B645" s="22" t="s">
        <v>1463</v>
      </c>
      <c r="C645" s="21"/>
      <c r="N645" t="str">
        <f>IF($B$1="","",IF(ISNUMBER(SEARCH($B$1,$A645&amp;" "&amp;$B645)),MAX($N$3:N644)+1,""))</f>
        <v/>
      </c>
    </row>
    <row r="646" spans="1:14" x14ac:dyDescent="0.25">
      <c r="A646" s="21" t="s">
        <v>1464</v>
      </c>
      <c r="B646" s="22" t="s">
        <v>1465</v>
      </c>
      <c r="C646" s="21"/>
      <c r="N646" t="str">
        <f>IF($B$1="","",IF(ISNUMBER(SEARCH($B$1,$A646&amp;" "&amp;$B646)),MAX($N$3:N645)+1,""))</f>
        <v/>
      </c>
    </row>
    <row r="647" spans="1:14" x14ac:dyDescent="0.25">
      <c r="A647" s="21" t="s">
        <v>1466</v>
      </c>
      <c r="B647" s="22" t="s">
        <v>1467</v>
      </c>
      <c r="C647" s="21"/>
      <c r="N647" t="str">
        <f>IF($B$1="","",IF(ISNUMBER(SEARCH($B$1,$A647&amp;" "&amp;$B647)),MAX($N$3:N646)+1,""))</f>
        <v/>
      </c>
    </row>
    <row r="648" spans="1:14" x14ac:dyDescent="0.25">
      <c r="A648" s="21" t="s">
        <v>1468</v>
      </c>
      <c r="B648" s="22" t="s">
        <v>1469</v>
      </c>
      <c r="C648" s="21"/>
      <c r="N648" t="str">
        <f>IF($B$1="","",IF(ISNUMBER(SEARCH($B$1,$A648&amp;" "&amp;$B648)),MAX($N$3:N647)+1,""))</f>
        <v/>
      </c>
    </row>
    <row r="649" spans="1:14" x14ac:dyDescent="0.25">
      <c r="A649" s="21" t="s">
        <v>1470</v>
      </c>
      <c r="B649" s="22" t="s">
        <v>1471</v>
      </c>
      <c r="C649" s="21"/>
      <c r="N649" t="str">
        <f>IF($B$1="","",IF(ISNUMBER(SEARCH($B$1,$A649&amp;" "&amp;$B649)),MAX($N$3:N648)+1,""))</f>
        <v/>
      </c>
    </row>
    <row r="650" spans="1:14" x14ac:dyDescent="0.25">
      <c r="A650" s="21" t="s">
        <v>1472</v>
      </c>
      <c r="B650" s="22" t="s">
        <v>1473</v>
      </c>
      <c r="C650" s="21"/>
      <c r="N650" t="str">
        <f>IF($B$1="","",IF(ISNUMBER(SEARCH($B$1,$A650&amp;" "&amp;$B650)),MAX($N$3:N649)+1,""))</f>
        <v/>
      </c>
    </row>
    <row r="651" spans="1:14" x14ac:dyDescent="0.25">
      <c r="A651" s="21" t="s">
        <v>1474</v>
      </c>
      <c r="B651" s="22" t="s">
        <v>1475</v>
      </c>
      <c r="C651" s="21"/>
      <c r="N651" t="str">
        <f>IF($B$1="","",IF(ISNUMBER(SEARCH($B$1,$A651&amp;" "&amp;$B651)),MAX($N$3:N650)+1,""))</f>
        <v/>
      </c>
    </row>
    <row r="652" spans="1:14" x14ac:dyDescent="0.25">
      <c r="A652" s="21" t="s">
        <v>1476</v>
      </c>
      <c r="B652" s="22" t="s">
        <v>1477</v>
      </c>
      <c r="C652" s="21"/>
      <c r="N652" t="str">
        <f>IF($B$1="","",IF(ISNUMBER(SEARCH($B$1,$A652&amp;" "&amp;$B652)),MAX($N$3:N651)+1,""))</f>
        <v/>
      </c>
    </row>
    <row r="653" spans="1:14" x14ac:dyDescent="0.25">
      <c r="A653" s="21" t="s">
        <v>1478</v>
      </c>
      <c r="B653" s="22" t="s">
        <v>1479</v>
      </c>
      <c r="C653" s="21"/>
      <c r="N653" t="str">
        <f>IF($B$1="","",IF(ISNUMBER(SEARCH($B$1,$A653&amp;" "&amp;$B653)),MAX($N$3:N652)+1,""))</f>
        <v/>
      </c>
    </row>
    <row r="654" spans="1:14" x14ac:dyDescent="0.25">
      <c r="A654" s="21" t="s">
        <v>1480</v>
      </c>
      <c r="B654" s="22" t="s">
        <v>27</v>
      </c>
      <c r="C654" s="21"/>
      <c r="N654" t="str">
        <f>IF($B$1="","",IF(ISNUMBER(SEARCH($B$1,$A654&amp;" "&amp;$B654)),MAX($N$3:N653)+1,""))</f>
        <v/>
      </c>
    </row>
    <row r="655" spans="1:14" x14ac:dyDescent="0.25">
      <c r="A655" s="21" t="s">
        <v>1481</v>
      </c>
      <c r="B655" s="22" t="s">
        <v>15</v>
      </c>
      <c r="C655" s="21"/>
      <c r="N655" t="str">
        <f>IF($B$1="","",IF(ISNUMBER(SEARCH($B$1,$A655&amp;" "&amp;$B655)),MAX($N$3:N654)+1,""))</f>
        <v/>
      </c>
    </row>
    <row r="656" spans="1:14" x14ac:dyDescent="0.25">
      <c r="A656" s="21" t="s">
        <v>1482</v>
      </c>
      <c r="B656" s="22" t="s">
        <v>1483</v>
      </c>
      <c r="C656" s="21"/>
      <c r="N656" t="str">
        <f>IF($B$1="","",IF(ISNUMBER(SEARCH($B$1,$A656&amp;" "&amp;$B656)),MAX($N$3:N655)+1,""))</f>
        <v/>
      </c>
    </row>
    <row r="657" spans="1:14" x14ac:dyDescent="0.25">
      <c r="A657" s="21" t="s">
        <v>1484</v>
      </c>
      <c r="B657" s="22" t="s">
        <v>1485</v>
      </c>
      <c r="C657" s="21"/>
      <c r="N657" t="str">
        <f>IF($B$1="","",IF(ISNUMBER(SEARCH($B$1,$A657&amp;" "&amp;$B657)),MAX($N$3:N656)+1,""))</f>
        <v/>
      </c>
    </row>
    <row r="658" spans="1:14" x14ac:dyDescent="0.25">
      <c r="A658" s="21" t="s">
        <v>1486</v>
      </c>
      <c r="B658" s="22" t="s">
        <v>1487</v>
      </c>
      <c r="C658" s="21"/>
      <c r="N658" t="str">
        <f>IF($B$1="","",IF(ISNUMBER(SEARCH($B$1,$A658&amp;" "&amp;$B658)),MAX($N$3:N657)+1,""))</f>
        <v/>
      </c>
    </row>
    <row r="659" spans="1:14" x14ac:dyDescent="0.25">
      <c r="A659" s="21" t="s">
        <v>1488</v>
      </c>
      <c r="B659" s="22" t="s">
        <v>1489</v>
      </c>
      <c r="C659" s="21"/>
      <c r="N659" t="str">
        <f>IF($B$1="","",IF(ISNUMBER(SEARCH($B$1,$A659&amp;" "&amp;$B659)),MAX($N$3:N658)+1,""))</f>
        <v/>
      </c>
    </row>
    <row r="660" spans="1:14" x14ac:dyDescent="0.25">
      <c r="A660" s="21" t="s">
        <v>1490</v>
      </c>
      <c r="B660" s="22" t="s">
        <v>1491</v>
      </c>
      <c r="C660" s="21"/>
      <c r="N660" t="str">
        <f>IF($B$1="","",IF(ISNUMBER(SEARCH($B$1,$A660&amp;" "&amp;$B660)),MAX($N$3:N659)+1,""))</f>
        <v/>
      </c>
    </row>
    <row r="661" spans="1:14" x14ac:dyDescent="0.25">
      <c r="A661" s="21" t="s">
        <v>1492</v>
      </c>
      <c r="B661" s="22" t="s">
        <v>1493</v>
      </c>
      <c r="C661" s="21"/>
      <c r="N661" t="str">
        <f>IF($B$1="","",IF(ISNUMBER(SEARCH($B$1,$A661&amp;" "&amp;$B661)),MAX($N$3:N660)+1,""))</f>
        <v/>
      </c>
    </row>
    <row r="662" spans="1:14" x14ac:dyDescent="0.25">
      <c r="A662" s="21" t="s">
        <v>1494</v>
      </c>
      <c r="B662" s="22" t="s">
        <v>1495</v>
      </c>
      <c r="C662" s="21"/>
      <c r="N662" t="str">
        <f>IF($B$1="","",IF(ISNUMBER(SEARCH($B$1,$A662&amp;" "&amp;$B662)),MAX($N$3:N661)+1,""))</f>
        <v/>
      </c>
    </row>
    <row r="663" spans="1:14" x14ac:dyDescent="0.25">
      <c r="A663" s="21" t="s">
        <v>1496</v>
      </c>
      <c r="B663" s="22" t="s">
        <v>1497</v>
      </c>
      <c r="C663" s="21"/>
      <c r="N663" t="str">
        <f>IF($B$1="","",IF(ISNUMBER(SEARCH($B$1,$A663&amp;" "&amp;$B663)),MAX($N$3:N662)+1,""))</f>
        <v/>
      </c>
    </row>
    <row r="664" spans="1:14" x14ac:dyDescent="0.25">
      <c r="A664" s="21" t="s">
        <v>1498</v>
      </c>
      <c r="B664" s="22" t="s">
        <v>1499</v>
      </c>
      <c r="C664" s="21"/>
      <c r="N664" t="str">
        <f>IF($B$1="","",IF(ISNUMBER(SEARCH($B$1,$A664&amp;" "&amp;$B664)),MAX($N$3:N663)+1,""))</f>
        <v/>
      </c>
    </row>
    <row r="665" spans="1:14" x14ac:dyDescent="0.25">
      <c r="A665" s="21" t="s">
        <v>1500</v>
      </c>
      <c r="B665" s="22" t="s">
        <v>1501</v>
      </c>
      <c r="C665" s="21"/>
      <c r="N665" t="str">
        <f>IF($B$1="","",IF(ISNUMBER(SEARCH($B$1,$A665&amp;" "&amp;$B665)),MAX($N$3:N664)+1,""))</f>
        <v/>
      </c>
    </row>
    <row r="666" spans="1:14" x14ac:dyDescent="0.25">
      <c r="A666" s="21" t="s">
        <v>1502</v>
      </c>
      <c r="B666" s="22" t="s">
        <v>1503</v>
      </c>
      <c r="C666" s="21"/>
      <c r="N666" t="str">
        <f>IF($B$1="","",IF(ISNUMBER(SEARCH($B$1,$A666&amp;" "&amp;$B666)),MAX($N$3:N665)+1,""))</f>
        <v/>
      </c>
    </row>
    <row r="667" spans="1:14" x14ac:dyDescent="0.25">
      <c r="A667" s="21" t="s">
        <v>1504</v>
      </c>
      <c r="B667" s="22" t="s">
        <v>1505</v>
      </c>
      <c r="C667" s="21"/>
      <c r="N667" t="str">
        <f>IF($B$1="","",IF(ISNUMBER(SEARCH($B$1,$A667&amp;" "&amp;$B667)),MAX($N$3:N666)+1,""))</f>
        <v/>
      </c>
    </row>
    <row r="668" spans="1:14" x14ac:dyDescent="0.25">
      <c r="A668" s="21" t="s">
        <v>1506</v>
      </c>
      <c r="B668" s="22" t="s">
        <v>1507</v>
      </c>
      <c r="C668" s="21"/>
      <c r="N668" t="str">
        <f>IF($B$1="","",IF(ISNUMBER(SEARCH($B$1,$A668&amp;" "&amp;$B668)),MAX($N$3:N667)+1,""))</f>
        <v/>
      </c>
    </row>
    <row r="669" spans="1:14" x14ac:dyDescent="0.25">
      <c r="A669" s="21" t="s">
        <v>1508</v>
      </c>
      <c r="B669" s="22" t="s">
        <v>1509</v>
      </c>
      <c r="C669" s="21"/>
      <c r="N669" t="str">
        <f>IF($B$1="","",IF(ISNUMBER(SEARCH($B$1,$A669&amp;" "&amp;$B669)),MAX($N$3:N668)+1,""))</f>
        <v/>
      </c>
    </row>
    <row r="670" spans="1:14" x14ac:dyDescent="0.25">
      <c r="A670" s="21" t="s">
        <v>1510</v>
      </c>
      <c r="B670" s="22" t="s">
        <v>1511</v>
      </c>
      <c r="C670" s="21"/>
      <c r="N670" t="str">
        <f>IF($B$1="","",IF(ISNUMBER(SEARCH($B$1,$A670&amp;" "&amp;$B670)),MAX($N$3:N669)+1,""))</f>
        <v/>
      </c>
    </row>
    <row r="671" spans="1:14" x14ac:dyDescent="0.25">
      <c r="A671" s="21" t="s">
        <v>1512</v>
      </c>
      <c r="B671" s="22" t="s">
        <v>1513</v>
      </c>
      <c r="C671" s="21"/>
      <c r="N671" t="str">
        <f>IF($B$1="","",IF(ISNUMBER(SEARCH($B$1,$A671&amp;" "&amp;$B671)),MAX($N$3:N670)+1,""))</f>
        <v/>
      </c>
    </row>
    <row r="672" spans="1:14" x14ac:dyDescent="0.25">
      <c r="A672" s="21" t="s">
        <v>1514</v>
      </c>
      <c r="B672" s="22" t="s">
        <v>1515</v>
      </c>
      <c r="C672" s="21"/>
      <c r="N672" t="str">
        <f>IF($B$1="","",IF(ISNUMBER(SEARCH($B$1,$A672&amp;" "&amp;$B672)),MAX($N$3:N671)+1,""))</f>
        <v/>
      </c>
    </row>
    <row r="673" spans="1:14" x14ac:dyDescent="0.25">
      <c r="A673" s="21" t="s">
        <v>1516</v>
      </c>
      <c r="B673" s="22" t="s">
        <v>1517</v>
      </c>
      <c r="C673" s="21"/>
      <c r="N673" t="str">
        <f>IF($B$1="","",IF(ISNUMBER(SEARCH($B$1,$A673&amp;" "&amp;$B673)),MAX($N$3:N672)+1,""))</f>
        <v/>
      </c>
    </row>
    <row r="674" spans="1:14" x14ac:dyDescent="0.25">
      <c r="A674" s="21" t="s">
        <v>1518</v>
      </c>
      <c r="B674" s="22" t="s">
        <v>1519</v>
      </c>
      <c r="C674" s="21"/>
      <c r="N674" t="str">
        <f>IF($B$1="","",IF(ISNUMBER(SEARCH($B$1,$A674&amp;" "&amp;$B674)),MAX($N$3:N673)+1,""))</f>
        <v/>
      </c>
    </row>
    <row r="675" spans="1:14" x14ac:dyDescent="0.25">
      <c r="A675" s="21" t="s">
        <v>1520</v>
      </c>
      <c r="B675" s="22" t="s">
        <v>1521</v>
      </c>
      <c r="C675" s="21"/>
      <c r="N675" t="str">
        <f>IF($B$1="","",IF(ISNUMBER(SEARCH($B$1,$A675&amp;" "&amp;$B675)),MAX($N$3:N674)+1,""))</f>
        <v/>
      </c>
    </row>
    <row r="676" spans="1:14" x14ac:dyDescent="0.25">
      <c r="A676" s="21" t="s">
        <v>1522</v>
      </c>
      <c r="B676" s="22" t="s">
        <v>1523</v>
      </c>
      <c r="C676" s="21"/>
      <c r="N676" t="str">
        <f>IF($B$1="","",IF(ISNUMBER(SEARCH($B$1,$A676&amp;" "&amp;$B676)),MAX($N$3:N675)+1,""))</f>
        <v/>
      </c>
    </row>
    <row r="677" spans="1:14" x14ac:dyDescent="0.25">
      <c r="A677" s="21" t="s">
        <v>1524</v>
      </c>
      <c r="B677" s="22" t="s">
        <v>1525</v>
      </c>
      <c r="C677" s="21"/>
      <c r="N677" t="str">
        <f>IF($B$1="","",IF(ISNUMBER(SEARCH($B$1,$A677&amp;" "&amp;$B677)),MAX($N$3:N676)+1,""))</f>
        <v/>
      </c>
    </row>
    <row r="678" spans="1:14" x14ac:dyDescent="0.25">
      <c r="A678" s="21" t="s">
        <v>1526</v>
      </c>
      <c r="B678" s="22" t="s">
        <v>1527</v>
      </c>
      <c r="C678" s="21"/>
      <c r="N678" t="str">
        <f>IF($B$1="","",IF(ISNUMBER(SEARCH($B$1,$A678&amp;" "&amp;$B678)),MAX($N$3:N677)+1,""))</f>
        <v/>
      </c>
    </row>
    <row r="679" spans="1:14" x14ac:dyDescent="0.25">
      <c r="A679" s="21" t="s">
        <v>1528</v>
      </c>
      <c r="B679" s="22" t="s">
        <v>1529</v>
      </c>
      <c r="C679" s="21"/>
      <c r="N679" t="str">
        <f>IF($B$1="","",IF(ISNUMBER(SEARCH($B$1,$A679&amp;" "&amp;$B679)),MAX($N$3:N678)+1,""))</f>
        <v/>
      </c>
    </row>
    <row r="680" spans="1:14" x14ac:dyDescent="0.25">
      <c r="A680" s="21" t="s">
        <v>1530</v>
      </c>
      <c r="B680" s="22" t="s">
        <v>1531</v>
      </c>
      <c r="C680" s="21"/>
      <c r="N680" t="str">
        <f>IF($B$1="","",IF(ISNUMBER(SEARCH($B$1,$A680&amp;" "&amp;$B680)),MAX($N$3:N679)+1,""))</f>
        <v/>
      </c>
    </row>
    <row r="681" spans="1:14" x14ac:dyDescent="0.25">
      <c r="A681" s="21" t="s">
        <v>1532</v>
      </c>
      <c r="B681" s="22" t="s">
        <v>1533</v>
      </c>
      <c r="C681" s="21"/>
      <c r="N681" t="str">
        <f>IF($B$1="","",IF(ISNUMBER(SEARCH($B$1,$A681&amp;" "&amp;$B681)),MAX($N$3:N680)+1,""))</f>
        <v/>
      </c>
    </row>
    <row r="682" spans="1:14" x14ac:dyDescent="0.25">
      <c r="A682" s="21" t="s">
        <v>1534</v>
      </c>
      <c r="B682" s="22" t="s">
        <v>1535</v>
      </c>
      <c r="C682" s="21"/>
      <c r="N682" t="str">
        <f>IF($B$1="","",IF(ISNUMBER(SEARCH($B$1,$A682&amp;" "&amp;$B682)),MAX($N$3:N681)+1,""))</f>
        <v/>
      </c>
    </row>
    <row r="683" spans="1:14" x14ac:dyDescent="0.25">
      <c r="A683" s="21" t="s">
        <v>1536</v>
      </c>
      <c r="B683" s="22" t="s">
        <v>1537</v>
      </c>
      <c r="C683" s="21"/>
      <c r="N683" t="str">
        <f>IF($B$1="","",IF(ISNUMBER(SEARCH($B$1,$A683&amp;" "&amp;$B683)),MAX($N$3:N682)+1,""))</f>
        <v/>
      </c>
    </row>
    <row r="684" spans="1:14" x14ac:dyDescent="0.25">
      <c r="A684" s="21" t="s">
        <v>1538</v>
      </c>
      <c r="B684" s="22" t="s">
        <v>1539</v>
      </c>
      <c r="C684" s="21"/>
      <c r="N684" t="str">
        <f>IF($B$1="","",IF(ISNUMBER(SEARCH($B$1,$A684&amp;" "&amp;$B684)),MAX($N$3:N683)+1,""))</f>
        <v/>
      </c>
    </row>
    <row r="685" spans="1:14" x14ac:dyDescent="0.25">
      <c r="A685" s="21" t="s">
        <v>1540</v>
      </c>
      <c r="B685" s="22" t="s">
        <v>1541</v>
      </c>
      <c r="C685" s="21"/>
      <c r="N685" t="str">
        <f>IF($B$1="","",IF(ISNUMBER(SEARCH($B$1,$A685&amp;" "&amp;$B685)),MAX($N$3:N684)+1,""))</f>
        <v/>
      </c>
    </row>
    <row r="686" spans="1:14" x14ac:dyDescent="0.25">
      <c r="A686" s="21" t="s">
        <v>1542</v>
      </c>
      <c r="B686" s="22" t="s">
        <v>1543</v>
      </c>
      <c r="C686" s="21"/>
      <c r="N686" t="str">
        <f>IF($B$1="","",IF(ISNUMBER(SEARCH($B$1,$A686&amp;" "&amp;$B686)),MAX($N$3:N685)+1,""))</f>
        <v/>
      </c>
    </row>
    <row r="687" spans="1:14" x14ac:dyDescent="0.25">
      <c r="A687" s="21" t="s">
        <v>1544</v>
      </c>
      <c r="B687" s="22" t="s">
        <v>1545</v>
      </c>
      <c r="C687" s="21"/>
      <c r="N687" t="str">
        <f>IF($B$1="","",IF(ISNUMBER(SEARCH($B$1,$A687&amp;" "&amp;$B687)),MAX($N$3:N686)+1,""))</f>
        <v/>
      </c>
    </row>
    <row r="688" spans="1:14" x14ac:dyDescent="0.25">
      <c r="A688" s="21" t="s">
        <v>1546</v>
      </c>
      <c r="B688" s="22" t="s">
        <v>1547</v>
      </c>
      <c r="C688" s="21"/>
      <c r="N688" t="str">
        <f>IF($B$1="","",IF(ISNUMBER(SEARCH($B$1,$A688&amp;" "&amp;$B688)),MAX($N$3:N687)+1,""))</f>
        <v/>
      </c>
    </row>
    <row r="689" spans="1:14" x14ac:dyDescent="0.25">
      <c r="A689" s="21" t="s">
        <v>1548</v>
      </c>
      <c r="B689" s="22" t="s">
        <v>1549</v>
      </c>
      <c r="C689" s="21"/>
      <c r="N689" t="str">
        <f>IF($B$1="","",IF(ISNUMBER(SEARCH($B$1,$A689&amp;" "&amp;$B689)),MAX($N$3:N688)+1,""))</f>
        <v/>
      </c>
    </row>
    <row r="690" spans="1:14" x14ac:dyDescent="0.25">
      <c r="A690" s="21" t="s">
        <v>1550</v>
      </c>
      <c r="B690" s="22" t="s">
        <v>1551</v>
      </c>
      <c r="C690" s="21"/>
      <c r="N690" t="str">
        <f>IF($B$1="","",IF(ISNUMBER(SEARCH($B$1,$A690&amp;" "&amp;$B690)),MAX($N$3:N689)+1,""))</f>
        <v/>
      </c>
    </row>
    <row r="691" spans="1:14" x14ac:dyDescent="0.25">
      <c r="A691" s="21" t="s">
        <v>1552</v>
      </c>
      <c r="B691" s="22" t="s">
        <v>1553</v>
      </c>
      <c r="C691" s="21"/>
      <c r="N691" t="str">
        <f>IF($B$1="","",IF(ISNUMBER(SEARCH($B$1,$A691&amp;" "&amp;$B691)),MAX($N$3:N690)+1,""))</f>
        <v/>
      </c>
    </row>
    <row r="692" spans="1:14" x14ac:dyDescent="0.25">
      <c r="A692" s="21" t="s">
        <v>1554</v>
      </c>
      <c r="B692" s="22" t="s">
        <v>1555</v>
      </c>
      <c r="C692" s="21"/>
      <c r="N692" t="str">
        <f>IF($B$1="","",IF(ISNUMBER(SEARCH($B$1,$A692&amp;" "&amp;$B692)),MAX($N$3:N691)+1,""))</f>
        <v/>
      </c>
    </row>
    <row r="693" spans="1:14" x14ac:dyDescent="0.25">
      <c r="A693" s="21" t="s">
        <v>1556</v>
      </c>
      <c r="B693" s="22" t="s">
        <v>1557</v>
      </c>
      <c r="C693" s="21"/>
      <c r="N693" t="str">
        <f>IF($B$1="","",IF(ISNUMBER(SEARCH($B$1,$A693&amp;" "&amp;$B693)),MAX($N$3:N692)+1,""))</f>
        <v/>
      </c>
    </row>
    <row r="694" spans="1:14" x14ac:dyDescent="0.25">
      <c r="A694" s="21" t="s">
        <v>1558</v>
      </c>
      <c r="B694" s="22" t="s">
        <v>1559</v>
      </c>
      <c r="C694" s="21"/>
      <c r="N694" t="str">
        <f>IF($B$1="","",IF(ISNUMBER(SEARCH($B$1,$A694&amp;" "&amp;$B694)),MAX($N$3:N693)+1,""))</f>
        <v/>
      </c>
    </row>
    <row r="695" spans="1:14" x14ac:dyDescent="0.25">
      <c r="A695" s="21" t="s">
        <v>1560</v>
      </c>
      <c r="B695" s="22" t="s">
        <v>1561</v>
      </c>
      <c r="C695" s="21"/>
      <c r="N695" t="str">
        <f>IF($B$1="","",IF(ISNUMBER(SEARCH($B$1,$A695&amp;" "&amp;$B695)),MAX($N$3:N694)+1,""))</f>
        <v/>
      </c>
    </row>
    <row r="696" spans="1:14" x14ac:dyDescent="0.25">
      <c r="A696" s="21" t="s">
        <v>1562</v>
      </c>
      <c r="B696" s="22" t="s">
        <v>1563</v>
      </c>
      <c r="C696" s="21"/>
      <c r="N696" t="str">
        <f>IF($B$1="","",IF(ISNUMBER(SEARCH($B$1,$A696&amp;" "&amp;$B696)),MAX($N$3:N695)+1,""))</f>
        <v/>
      </c>
    </row>
    <row r="697" spans="1:14" x14ac:dyDescent="0.25">
      <c r="A697" s="21" t="s">
        <v>1564</v>
      </c>
      <c r="B697" s="22" t="s">
        <v>1565</v>
      </c>
      <c r="C697" s="21"/>
      <c r="N697" t="str">
        <f>IF($B$1="","",IF(ISNUMBER(SEARCH($B$1,$A697&amp;" "&amp;$B697)),MAX($N$3:N696)+1,""))</f>
        <v/>
      </c>
    </row>
    <row r="698" spans="1:14" x14ac:dyDescent="0.25">
      <c r="A698" s="21" t="s">
        <v>1566</v>
      </c>
      <c r="B698" s="22" t="s">
        <v>1567</v>
      </c>
      <c r="C698" s="21"/>
      <c r="N698" t="str">
        <f>IF($B$1="","",IF(ISNUMBER(SEARCH($B$1,$A698&amp;" "&amp;$B698)),MAX($N$3:N697)+1,""))</f>
        <v/>
      </c>
    </row>
    <row r="699" spans="1:14" x14ac:dyDescent="0.25">
      <c r="A699" s="21" t="s">
        <v>1568</v>
      </c>
      <c r="B699" s="22" t="s">
        <v>1569</v>
      </c>
      <c r="C699" s="21"/>
      <c r="N699" t="str">
        <f>IF($B$1="","",IF(ISNUMBER(SEARCH($B$1,$A699&amp;" "&amp;$B699)),MAX($N$3:N698)+1,""))</f>
        <v/>
      </c>
    </row>
    <row r="700" spans="1:14" x14ac:dyDescent="0.25">
      <c r="A700" s="21" t="s">
        <v>1570</v>
      </c>
      <c r="B700" s="22" t="s">
        <v>1571</v>
      </c>
      <c r="C700" s="21"/>
      <c r="N700" t="str">
        <f>IF($B$1="","",IF(ISNUMBER(SEARCH($B$1,$A700&amp;" "&amp;$B700)),MAX($N$3:N699)+1,""))</f>
        <v/>
      </c>
    </row>
    <row r="701" spans="1:14" x14ac:dyDescent="0.25">
      <c r="A701" s="21" t="s">
        <v>1572</v>
      </c>
      <c r="B701" s="22" t="s">
        <v>1573</v>
      </c>
      <c r="C701" s="21"/>
      <c r="N701" t="str">
        <f>IF($B$1="","",IF(ISNUMBER(SEARCH($B$1,$A701&amp;" "&amp;$B701)),MAX($N$3:N700)+1,""))</f>
        <v/>
      </c>
    </row>
    <row r="702" spans="1:14" x14ac:dyDescent="0.25">
      <c r="A702" s="21" t="s">
        <v>1574</v>
      </c>
      <c r="B702" s="22" t="s">
        <v>1575</v>
      </c>
      <c r="C702" s="21"/>
      <c r="N702" t="str">
        <f>IF($B$1="","",IF(ISNUMBER(SEARCH($B$1,$A702&amp;" "&amp;$B702)),MAX($N$3:N701)+1,""))</f>
        <v/>
      </c>
    </row>
    <row r="703" spans="1:14" x14ac:dyDescent="0.25">
      <c r="A703" s="21" t="s">
        <v>1576</v>
      </c>
      <c r="B703" s="22" t="s">
        <v>1577</v>
      </c>
      <c r="C703" s="21"/>
      <c r="N703" t="str">
        <f>IF($B$1="","",IF(ISNUMBER(SEARCH($B$1,$A703&amp;" "&amp;$B703)),MAX($N$3:N702)+1,""))</f>
        <v/>
      </c>
    </row>
    <row r="704" spans="1:14" x14ac:dyDescent="0.25">
      <c r="A704" s="21" t="s">
        <v>1578</v>
      </c>
      <c r="B704" s="22" t="s">
        <v>1579</v>
      </c>
      <c r="C704" s="21"/>
      <c r="N704" t="str">
        <f>IF($B$1="","",IF(ISNUMBER(SEARCH($B$1,$A704&amp;" "&amp;$B704)),MAX($N$3:N703)+1,""))</f>
        <v/>
      </c>
    </row>
    <row r="705" spans="1:14" x14ac:dyDescent="0.25">
      <c r="A705" s="21" t="s">
        <v>1580</v>
      </c>
      <c r="B705" s="22" t="s">
        <v>1581</v>
      </c>
      <c r="C705" s="21"/>
      <c r="N705" t="str">
        <f>IF($B$1="","",IF(ISNUMBER(SEARCH($B$1,$A705&amp;" "&amp;$B705)),MAX($N$3:N704)+1,""))</f>
        <v/>
      </c>
    </row>
    <row r="706" spans="1:14" x14ac:dyDescent="0.25">
      <c r="A706" s="21" t="s">
        <v>1582</v>
      </c>
      <c r="B706" s="22" t="s">
        <v>1583</v>
      </c>
      <c r="C706" s="21"/>
      <c r="N706" t="str">
        <f>IF($B$1="","",IF(ISNUMBER(SEARCH($B$1,$A706&amp;" "&amp;$B706)),MAX($N$3:N705)+1,""))</f>
        <v/>
      </c>
    </row>
    <row r="707" spans="1:14" x14ac:dyDescent="0.25">
      <c r="A707" s="21" t="s">
        <v>1584</v>
      </c>
      <c r="B707" s="22" t="s">
        <v>1585</v>
      </c>
      <c r="C707" s="21"/>
      <c r="N707" t="str">
        <f>IF($B$1="","",IF(ISNUMBER(SEARCH($B$1,$A707&amp;" "&amp;$B707)),MAX($N$3:N706)+1,""))</f>
        <v/>
      </c>
    </row>
    <row r="708" spans="1:14" x14ac:dyDescent="0.25">
      <c r="A708" s="21" t="s">
        <v>1586</v>
      </c>
      <c r="B708" s="22" t="s">
        <v>45</v>
      </c>
      <c r="C708" s="21" t="s">
        <v>455</v>
      </c>
      <c r="N708" t="str">
        <f>IF($B$1="","",IF(ISNUMBER(SEARCH($B$1,$A708&amp;" "&amp;$B708)),MAX($N$3:N707)+1,""))</f>
        <v/>
      </c>
    </row>
    <row r="709" spans="1:14" x14ac:dyDescent="0.25">
      <c r="A709" s="21" t="s">
        <v>1587</v>
      </c>
      <c r="B709" s="22" t="s">
        <v>1588</v>
      </c>
      <c r="C709" s="21"/>
      <c r="N709" t="str">
        <f>IF($B$1="","",IF(ISNUMBER(SEARCH($B$1,$A709&amp;" "&amp;$B709)),MAX($N$3:N708)+1,""))</f>
        <v/>
      </c>
    </row>
    <row r="710" spans="1:14" x14ac:dyDescent="0.25">
      <c r="A710" s="21" t="s">
        <v>1589</v>
      </c>
      <c r="B710" s="22" t="s">
        <v>1590</v>
      </c>
      <c r="C710" s="21"/>
      <c r="N710" t="str">
        <f>IF($B$1="","",IF(ISNUMBER(SEARCH($B$1,$A710&amp;" "&amp;$B710)),MAX($N$3:N709)+1,""))</f>
        <v/>
      </c>
    </row>
    <row r="711" spans="1:14" x14ac:dyDescent="0.25">
      <c r="A711" s="21" t="s">
        <v>1591</v>
      </c>
      <c r="B711" s="22" t="s">
        <v>1592</v>
      </c>
      <c r="C711" s="21"/>
      <c r="N711" t="str">
        <f>IF($B$1="","",IF(ISNUMBER(SEARCH($B$1,$A711&amp;" "&amp;$B711)),MAX($N$3:N710)+1,""))</f>
        <v/>
      </c>
    </row>
    <row r="712" spans="1:14" x14ac:dyDescent="0.25">
      <c r="A712" s="21" t="s">
        <v>1593</v>
      </c>
      <c r="B712" s="22" t="s">
        <v>1594</v>
      </c>
      <c r="C712" s="21"/>
      <c r="N712" t="str">
        <f>IF($B$1="","",IF(ISNUMBER(SEARCH($B$1,$A712&amp;" "&amp;$B712)),MAX($N$3:N711)+1,""))</f>
        <v/>
      </c>
    </row>
    <row r="713" spans="1:14" x14ac:dyDescent="0.25">
      <c r="A713" s="21" t="s">
        <v>1595</v>
      </c>
      <c r="B713" s="22" t="s">
        <v>1596</v>
      </c>
      <c r="C713" s="21"/>
      <c r="N713" t="str">
        <f>IF($B$1="","",IF(ISNUMBER(SEARCH($B$1,$A713&amp;" "&amp;$B713)),MAX($N$3:N712)+1,""))</f>
        <v/>
      </c>
    </row>
    <row r="714" spans="1:14" x14ac:dyDescent="0.25">
      <c r="A714" s="21" t="s">
        <v>1597</v>
      </c>
      <c r="B714" s="22" t="s">
        <v>1598</v>
      </c>
      <c r="C714" s="21"/>
      <c r="N714" t="str">
        <f>IF($B$1="","",IF(ISNUMBER(SEARCH($B$1,$A714&amp;" "&amp;$B714)),MAX($N$3:N713)+1,""))</f>
        <v/>
      </c>
    </row>
    <row r="715" spans="1:14" x14ac:dyDescent="0.25">
      <c r="A715" s="21" t="s">
        <v>1599</v>
      </c>
      <c r="B715" s="22" t="s">
        <v>1600</v>
      </c>
      <c r="C715" s="21"/>
      <c r="N715" t="str">
        <f>IF($B$1="","",IF(ISNUMBER(SEARCH($B$1,$A715&amp;" "&amp;$B715)),MAX($N$3:N714)+1,""))</f>
        <v/>
      </c>
    </row>
    <row r="716" spans="1:14" x14ac:dyDescent="0.25">
      <c r="A716" s="21" t="s">
        <v>1601</v>
      </c>
      <c r="B716" s="22" t="s">
        <v>1602</v>
      </c>
      <c r="C716" s="21"/>
      <c r="N716" t="str">
        <f>IF($B$1="","",IF(ISNUMBER(SEARCH($B$1,$A716&amp;" "&amp;$B716)),MAX($N$3:N715)+1,""))</f>
        <v/>
      </c>
    </row>
    <row r="717" spans="1:14" x14ac:dyDescent="0.25">
      <c r="A717" s="21" t="s">
        <v>1603</v>
      </c>
      <c r="B717" s="22" t="s">
        <v>1604</v>
      </c>
      <c r="C717" s="21"/>
      <c r="N717" t="str">
        <f>IF($B$1="","",IF(ISNUMBER(SEARCH($B$1,$A717&amp;" "&amp;$B717)),MAX($N$3:N716)+1,""))</f>
        <v/>
      </c>
    </row>
    <row r="718" spans="1:14" x14ac:dyDescent="0.25">
      <c r="A718" s="21" t="s">
        <v>1605</v>
      </c>
      <c r="B718" s="22" t="s">
        <v>1606</v>
      </c>
      <c r="C718" s="21"/>
      <c r="N718" t="str">
        <f>IF($B$1="","",IF(ISNUMBER(SEARCH($B$1,$A718&amp;" "&amp;$B718)),MAX($N$3:N717)+1,""))</f>
        <v/>
      </c>
    </row>
    <row r="719" spans="1:14" x14ac:dyDescent="0.25">
      <c r="A719" s="21" t="s">
        <v>1607</v>
      </c>
      <c r="B719" s="22" t="s">
        <v>1608</v>
      </c>
      <c r="C719" s="21"/>
      <c r="N719" t="str">
        <f>IF($B$1="","",IF(ISNUMBER(SEARCH($B$1,$A719&amp;" "&amp;$B719)),MAX($N$3:N718)+1,""))</f>
        <v/>
      </c>
    </row>
    <row r="720" spans="1:14" x14ac:dyDescent="0.25">
      <c r="A720" s="21" t="s">
        <v>1609</v>
      </c>
      <c r="B720" s="22" t="s">
        <v>1610</v>
      </c>
      <c r="C720" s="21"/>
      <c r="N720" t="str">
        <f>IF($B$1="","",IF(ISNUMBER(SEARCH($B$1,$A720&amp;" "&amp;$B720)),MAX($N$3:N719)+1,""))</f>
        <v/>
      </c>
    </row>
    <row r="721" spans="1:14" x14ac:dyDescent="0.25">
      <c r="A721" s="21" t="s">
        <v>1611</v>
      </c>
      <c r="B721" s="22" t="s">
        <v>1612</v>
      </c>
      <c r="C721" s="21"/>
      <c r="N721" t="str">
        <f>IF($B$1="","",IF(ISNUMBER(SEARCH($B$1,$A721&amp;" "&amp;$B721)),MAX($N$3:N720)+1,""))</f>
        <v/>
      </c>
    </row>
    <row r="722" spans="1:14" x14ac:dyDescent="0.25">
      <c r="A722" s="21" t="s">
        <v>1613</v>
      </c>
      <c r="B722" s="22" t="s">
        <v>1614</v>
      </c>
      <c r="C722" s="21"/>
      <c r="N722" t="str">
        <f>IF($B$1="","",IF(ISNUMBER(SEARCH($B$1,$A722&amp;" "&amp;$B722)),MAX($N$3:N721)+1,""))</f>
        <v/>
      </c>
    </row>
    <row r="723" spans="1:14" x14ac:dyDescent="0.25">
      <c r="A723" s="21" t="s">
        <v>1615</v>
      </c>
      <c r="B723" s="22" t="s">
        <v>1616</v>
      </c>
      <c r="C723" s="21"/>
      <c r="N723" t="str">
        <f>IF($B$1="","",IF(ISNUMBER(SEARCH($B$1,$A723&amp;" "&amp;$B723)),MAX($N$3:N722)+1,""))</f>
        <v/>
      </c>
    </row>
    <row r="724" spans="1:14" x14ac:dyDescent="0.25">
      <c r="A724" s="21" t="s">
        <v>1617</v>
      </c>
      <c r="B724" s="22" t="s">
        <v>1618</v>
      </c>
      <c r="C724" s="21"/>
      <c r="N724" t="str">
        <f>IF($B$1="","",IF(ISNUMBER(SEARCH($B$1,$A724&amp;" "&amp;$B724)),MAX($N$3:N723)+1,""))</f>
        <v/>
      </c>
    </row>
    <row r="725" spans="1:14" x14ac:dyDescent="0.25">
      <c r="A725" s="21" t="s">
        <v>1619</v>
      </c>
      <c r="B725" s="22" t="s">
        <v>1620</v>
      </c>
      <c r="C725" s="21"/>
      <c r="N725" t="str">
        <f>IF($B$1="","",IF(ISNUMBER(SEARCH($B$1,$A725&amp;" "&amp;$B725)),MAX($N$3:N724)+1,""))</f>
        <v/>
      </c>
    </row>
    <row r="726" spans="1:14" x14ac:dyDescent="0.25">
      <c r="A726" s="21" t="s">
        <v>1621</v>
      </c>
      <c r="B726" s="22" t="s">
        <v>1622</v>
      </c>
      <c r="C726" s="21"/>
      <c r="N726" t="str">
        <f>IF($B$1="","",IF(ISNUMBER(SEARCH($B$1,$A726&amp;" "&amp;$B726)),MAX($N$3:N725)+1,""))</f>
        <v/>
      </c>
    </row>
    <row r="727" spans="1:14" x14ac:dyDescent="0.25">
      <c r="A727" s="21" t="s">
        <v>1623</v>
      </c>
      <c r="B727" s="22" t="s">
        <v>1624</v>
      </c>
      <c r="C727" s="21"/>
      <c r="N727" t="str">
        <f>IF($B$1="","",IF(ISNUMBER(SEARCH($B$1,$A727&amp;" "&amp;$B727)),MAX($N$3:N726)+1,""))</f>
        <v/>
      </c>
    </row>
    <row r="728" spans="1:14" x14ac:dyDescent="0.25">
      <c r="A728" s="21" t="s">
        <v>1625</v>
      </c>
      <c r="B728" s="22" t="s">
        <v>1626</v>
      </c>
      <c r="C728" s="21"/>
      <c r="N728" t="str">
        <f>IF($B$1="","",IF(ISNUMBER(SEARCH($B$1,$A728&amp;" "&amp;$B728)),MAX($N$3:N727)+1,""))</f>
        <v/>
      </c>
    </row>
    <row r="729" spans="1:14" x14ac:dyDescent="0.25">
      <c r="A729" s="21" t="s">
        <v>1627</v>
      </c>
      <c r="B729" s="22" t="s">
        <v>1628</v>
      </c>
      <c r="C729" s="21"/>
      <c r="N729" t="str">
        <f>IF($B$1="","",IF(ISNUMBER(SEARCH($B$1,$A729&amp;" "&amp;$B729)),MAX($N$3:N728)+1,""))</f>
        <v/>
      </c>
    </row>
    <row r="730" spans="1:14" x14ac:dyDescent="0.25">
      <c r="A730" s="21" t="s">
        <v>1629</v>
      </c>
      <c r="B730" s="22" t="s">
        <v>1630</v>
      </c>
      <c r="C730" s="21"/>
      <c r="N730" t="str">
        <f>IF($B$1="","",IF(ISNUMBER(SEARCH($B$1,$A730&amp;" "&amp;$B730)),MAX($N$3:N729)+1,""))</f>
        <v/>
      </c>
    </row>
    <row r="731" spans="1:14" x14ac:dyDescent="0.25">
      <c r="A731" s="21" t="s">
        <v>1631</v>
      </c>
      <c r="B731" s="22" t="s">
        <v>1632</v>
      </c>
      <c r="C731" s="21"/>
      <c r="N731" t="str">
        <f>IF($B$1="","",IF(ISNUMBER(SEARCH($B$1,$A731&amp;" "&amp;$B731)),MAX($N$3:N730)+1,""))</f>
        <v/>
      </c>
    </row>
    <row r="732" spans="1:14" x14ac:dyDescent="0.25">
      <c r="A732" s="21" t="s">
        <v>1633</v>
      </c>
      <c r="B732" s="22" t="s">
        <v>1634</v>
      </c>
      <c r="C732" s="21"/>
      <c r="N732" t="str">
        <f>IF($B$1="","",IF(ISNUMBER(SEARCH($B$1,$A732&amp;" "&amp;$B732)),MAX($N$3:N731)+1,""))</f>
        <v/>
      </c>
    </row>
    <row r="733" spans="1:14" x14ac:dyDescent="0.25">
      <c r="A733" s="21" t="s">
        <v>1635</v>
      </c>
      <c r="B733" s="22" t="s">
        <v>1636</v>
      </c>
      <c r="C733" s="21"/>
      <c r="N733" t="str">
        <f>IF($B$1="","",IF(ISNUMBER(SEARCH($B$1,$A733&amp;" "&amp;$B733)),MAX($N$3:N732)+1,""))</f>
        <v/>
      </c>
    </row>
    <row r="734" spans="1:14" x14ac:dyDescent="0.25">
      <c r="A734" s="21" t="s">
        <v>1637</v>
      </c>
      <c r="B734" s="22" t="s">
        <v>1638</v>
      </c>
      <c r="C734" s="21"/>
      <c r="N734" t="str">
        <f>IF($B$1="","",IF(ISNUMBER(SEARCH($B$1,$A734&amp;" "&amp;$B734)),MAX($N$3:N733)+1,""))</f>
        <v/>
      </c>
    </row>
    <row r="735" spans="1:14" x14ac:dyDescent="0.25">
      <c r="A735" s="21" t="s">
        <v>1639</v>
      </c>
      <c r="B735" s="22" t="s">
        <v>1640</v>
      </c>
      <c r="C735" s="21"/>
      <c r="N735" t="str">
        <f>IF($B$1="","",IF(ISNUMBER(SEARCH($B$1,$A735&amp;" "&amp;$B735)),MAX($N$3:N734)+1,""))</f>
        <v/>
      </c>
    </row>
    <row r="736" spans="1:14" x14ac:dyDescent="0.25">
      <c r="A736" s="21" t="s">
        <v>1641</v>
      </c>
      <c r="B736" s="22" t="s">
        <v>1642</v>
      </c>
      <c r="C736" s="21"/>
      <c r="N736" t="str">
        <f>IF($B$1="","",IF(ISNUMBER(SEARCH($B$1,$A736&amp;" "&amp;$B736)),MAX($N$3:N735)+1,""))</f>
        <v/>
      </c>
    </row>
    <row r="737" spans="1:14" x14ac:dyDescent="0.25">
      <c r="A737" s="21" t="s">
        <v>1643</v>
      </c>
      <c r="B737" s="22" t="s">
        <v>1644</v>
      </c>
      <c r="C737" s="21"/>
      <c r="N737" t="str">
        <f>IF($B$1="","",IF(ISNUMBER(SEARCH($B$1,$A737&amp;" "&amp;$B737)),MAX($N$3:N736)+1,""))</f>
        <v/>
      </c>
    </row>
    <row r="738" spans="1:14" x14ac:dyDescent="0.25">
      <c r="A738" s="21" t="s">
        <v>1645</v>
      </c>
      <c r="B738" s="22" t="s">
        <v>1646</v>
      </c>
      <c r="C738" s="21"/>
      <c r="N738" t="str">
        <f>IF($B$1="","",IF(ISNUMBER(SEARCH($B$1,$A738&amp;" "&amp;$B738)),MAX($N$3:N737)+1,""))</f>
        <v/>
      </c>
    </row>
    <row r="739" spans="1:14" x14ac:dyDescent="0.25">
      <c r="A739" s="21" t="s">
        <v>1647</v>
      </c>
      <c r="B739" s="22" t="s">
        <v>1648</v>
      </c>
      <c r="C739" s="21"/>
      <c r="N739" t="str">
        <f>IF($B$1="","",IF(ISNUMBER(SEARCH($B$1,$A739&amp;" "&amp;$B739)),MAX($N$3:N738)+1,""))</f>
        <v/>
      </c>
    </row>
    <row r="740" spans="1:14" x14ac:dyDescent="0.25">
      <c r="A740" s="21" t="s">
        <v>1649</v>
      </c>
      <c r="B740" s="22" t="s">
        <v>1650</v>
      </c>
      <c r="C740" s="21"/>
      <c r="N740" t="str">
        <f>IF($B$1="","",IF(ISNUMBER(SEARCH($B$1,$A740&amp;" "&amp;$B740)),MAX($N$3:N739)+1,""))</f>
        <v/>
      </c>
    </row>
    <row r="741" spans="1:14" x14ac:dyDescent="0.25">
      <c r="A741" s="21" t="s">
        <v>1651</v>
      </c>
      <c r="B741" s="22" t="s">
        <v>1652</v>
      </c>
      <c r="C741" s="21"/>
      <c r="N741" t="str">
        <f>IF($B$1="","",IF(ISNUMBER(SEARCH($B$1,$A741&amp;" "&amp;$B741)),MAX($N$3:N740)+1,""))</f>
        <v/>
      </c>
    </row>
    <row r="742" spans="1:14" x14ac:dyDescent="0.25">
      <c r="A742" s="21" t="s">
        <v>1653</v>
      </c>
      <c r="B742" s="22" t="s">
        <v>1654</v>
      </c>
      <c r="C742" s="21"/>
      <c r="N742" t="str">
        <f>IF($B$1="","",IF(ISNUMBER(SEARCH($B$1,$A742&amp;" "&amp;$B742)),MAX($N$3:N741)+1,""))</f>
        <v/>
      </c>
    </row>
    <row r="743" spans="1:14" x14ac:dyDescent="0.25">
      <c r="A743" s="21" t="s">
        <v>1655</v>
      </c>
      <c r="B743" s="22" t="s">
        <v>1656</v>
      </c>
      <c r="C743" s="21"/>
      <c r="N743" t="str">
        <f>IF($B$1="","",IF(ISNUMBER(SEARCH($B$1,$A743&amp;" "&amp;$B743)),MAX($N$3:N742)+1,""))</f>
        <v/>
      </c>
    </row>
    <row r="744" spans="1:14" x14ac:dyDescent="0.25">
      <c r="A744" s="21" t="s">
        <v>1657</v>
      </c>
      <c r="B744" s="22" t="s">
        <v>1658</v>
      </c>
      <c r="C744" s="21"/>
      <c r="N744" t="str">
        <f>IF($B$1="","",IF(ISNUMBER(SEARCH($B$1,$A744&amp;" "&amp;$B744)),MAX($N$3:N743)+1,""))</f>
        <v/>
      </c>
    </row>
    <row r="745" spans="1:14" x14ac:dyDescent="0.25">
      <c r="A745" s="21" t="s">
        <v>1659</v>
      </c>
      <c r="B745" s="22" t="s">
        <v>1660</v>
      </c>
      <c r="C745" s="21"/>
      <c r="N745" t="str">
        <f>IF($B$1="","",IF(ISNUMBER(SEARCH($B$1,$A745&amp;" "&amp;$B745)),MAX($N$3:N744)+1,""))</f>
        <v/>
      </c>
    </row>
    <row r="746" spans="1:14" x14ac:dyDescent="0.25">
      <c r="A746" s="21" t="s">
        <v>1661</v>
      </c>
      <c r="B746" s="22" t="s">
        <v>1662</v>
      </c>
      <c r="C746" s="21"/>
      <c r="N746" t="str">
        <f>IF($B$1="","",IF(ISNUMBER(SEARCH($B$1,$A746&amp;" "&amp;$B746)),MAX($N$3:N745)+1,""))</f>
        <v/>
      </c>
    </row>
    <row r="747" spans="1:14" x14ac:dyDescent="0.25">
      <c r="A747" s="21" t="s">
        <v>1663</v>
      </c>
      <c r="B747" s="22" t="s">
        <v>1664</v>
      </c>
      <c r="C747" s="21"/>
      <c r="N747" t="str">
        <f>IF($B$1="","",IF(ISNUMBER(SEARCH($B$1,$A747&amp;" "&amp;$B747)),MAX($N$3:N746)+1,""))</f>
        <v/>
      </c>
    </row>
    <row r="748" spans="1:14" x14ac:dyDescent="0.25">
      <c r="A748" s="21" t="s">
        <v>1665</v>
      </c>
      <c r="B748" s="22" t="s">
        <v>1666</v>
      </c>
      <c r="C748" s="21"/>
      <c r="N748" t="str">
        <f>IF($B$1="","",IF(ISNUMBER(SEARCH($B$1,$A748&amp;" "&amp;$B748)),MAX($N$3:N747)+1,""))</f>
        <v/>
      </c>
    </row>
    <row r="749" spans="1:14" x14ac:dyDescent="0.25">
      <c r="A749" s="21" t="s">
        <v>1667</v>
      </c>
      <c r="B749" s="22" t="s">
        <v>1668</v>
      </c>
      <c r="C749" s="21"/>
      <c r="N749" t="str">
        <f>IF($B$1="","",IF(ISNUMBER(SEARCH($B$1,$A749&amp;" "&amp;$B749)),MAX($N$3:N748)+1,""))</f>
        <v/>
      </c>
    </row>
    <row r="750" spans="1:14" x14ac:dyDescent="0.25">
      <c r="A750" s="21" t="s">
        <v>1669</v>
      </c>
      <c r="B750" s="22" t="s">
        <v>1670</v>
      </c>
      <c r="C750" s="21"/>
      <c r="N750" t="str">
        <f>IF($B$1="","",IF(ISNUMBER(SEARCH($B$1,$A750&amp;" "&amp;$B750)),MAX($N$3:N749)+1,""))</f>
        <v/>
      </c>
    </row>
    <row r="751" spans="1:14" x14ac:dyDescent="0.25">
      <c r="A751" s="21" t="s">
        <v>1671</v>
      </c>
      <c r="B751" s="22" t="s">
        <v>1672</v>
      </c>
      <c r="C751" s="21"/>
      <c r="N751" t="str">
        <f>IF($B$1="","",IF(ISNUMBER(SEARCH($B$1,$A751&amp;" "&amp;$B751)),MAX($N$3:N750)+1,""))</f>
        <v/>
      </c>
    </row>
    <row r="752" spans="1:14" x14ac:dyDescent="0.25">
      <c r="A752" s="21" t="s">
        <v>1673</v>
      </c>
      <c r="B752" s="22" t="s">
        <v>1674</v>
      </c>
      <c r="C752" s="21"/>
      <c r="N752" t="str">
        <f>IF($B$1="","",IF(ISNUMBER(SEARCH($B$1,$A752&amp;" "&amp;$B752)),MAX($N$3:N751)+1,""))</f>
        <v/>
      </c>
    </row>
    <row r="753" spans="1:14" x14ac:dyDescent="0.25">
      <c r="A753" s="21" t="s">
        <v>1675</v>
      </c>
      <c r="B753" s="22" t="s">
        <v>1676</v>
      </c>
      <c r="C753" s="21"/>
      <c r="N753" t="str">
        <f>IF($B$1="","",IF(ISNUMBER(SEARCH($B$1,$A753&amp;" "&amp;$B753)),MAX($N$3:N752)+1,""))</f>
        <v/>
      </c>
    </row>
    <row r="754" spans="1:14" x14ac:dyDescent="0.25">
      <c r="A754" s="21" t="s">
        <v>1677</v>
      </c>
      <c r="B754" s="22" t="s">
        <v>1678</v>
      </c>
      <c r="C754" s="21"/>
      <c r="N754" t="str">
        <f>IF($B$1="","",IF(ISNUMBER(SEARCH($B$1,$A754&amp;" "&amp;$B754)),MAX($N$3:N753)+1,""))</f>
        <v/>
      </c>
    </row>
    <row r="755" spans="1:14" x14ac:dyDescent="0.25">
      <c r="A755" s="21" t="s">
        <v>1679</v>
      </c>
      <c r="B755" s="22" t="s">
        <v>1680</v>
      </c>
      <c r="C755" s="21"/>
      <c r="N755" t="str">
        <f>IF($B$1="","",IF(ISNUMBER(SEARCH($B$1,$A755&amp;" "&amp;$B755)),MAX($N$3:N754)+1,""))</f>
        <v/>
      </c>
    </row>
    <row r="756" spans="1:14" x14ac:dyDescent="0.25">
      <c r="A756" s="21" t="s">
        <v>1681</v>
      </c>
      <c r="B756" s="22" t="s">
        <v>1682</v>
      </c>
      <c r="C756" s="21"/>
      <c r="N756" t="str">
        <f>IF($B$1="","",IF(ISNUMBER(SEARCH($B$1,$A756&amp;" "&amp;$B756)),MAX($N$3:N755)+1,""))</f>
        <v/>
      </c>
    </row>
    <row r="757" spans="1:14" x14ac:dyDescent="0.25">
      <c r="A757" s="21" t="s">
        <v>1683</v>
      </c>
      <c r="B757" s="22" t="s">
        <v>1684</v>
      </c>
      <c r="C757" s="21"/>
      <c r="N757" t="str">
        <f>IF($B$1="","",IF(ISNUMBER(SEARCH($B$1,$A757&amp;" "&amp;$B757)),MAX($N$3:N756)+1,""))</f>
        <v/>
      </c>
    </row>
    <row r="758" spans="1:14" x14ac:dyDescent="0.25">
      <c r="A758" s="21" t="s">
        <v>1685</v>
      </c>
      <c r="B758" s="22" t="s">
        <v>1686</v>
      </c>
      <c r="C758" s="21"/>
      <c r="N758" t="str">
        <f>IF($B$1="","",IF(ISNUMBER(SEARCH($B$1,$A758&amp;" "&amp;$B758)),MAX($N$3:N757)+1,""))</f>
        <v/>
      </c>
    </row>
    <row r="759" spans="1:14" x14ac:dyDescent="0.25">
      <c r="A759" s="21" t="s">
        <v>1687</v>
      </c>
      <c r="B759" s="22" t="s">
        <v>1688</v>
      </c>
      <c r="C759" s="21"/>
      <c r="N759" t="str">
        <f>IF($B$1="","",IF(ISNUMBER(SEARCH($B$1,$A759&amp;" "&amp;$B759)),MAX($N$3:N758)+1,""))</f>
        <v/>
      </c>
    </row>
    <row r="760" spans="1:14" x14ac:dyDescent="0.25">
      <c r="A760" s="21" t="s">
        <v>1689</v>
      </c>
      <c r="B760" s="22" t="s">
        <v>1690</v>
      </c>
      <c r="C760" s="21"/>
      <c r="N760" t="str">
        <f>IF($B$1="","",IF(ISNUMBER(SEARCH($B$1,$A760&amp;" "&amp;$B760)),MAX($N$3:N759)+1,""))</f>
        <v/>
      </c>
    </row>
    <row r="761" spans="1:14" x14ac:dyDescent="0.25">
      <c r="A761" s="21" t="s">
        <v>1691</v>
      </c>
      <c r="B761" s="22" t="s">
        <v>1692</v>
      </c>
      <c r="C761" s="21"/>
      <c r="N761" t="str">
        <f>IF($B$1="","",IF(ISNUMBER(SEARCH($B$1,$A761&amp;" "&amp;$B761)),MAX($N$3:N760)+1,""))</f>
        <v/>
      </c>
    </row>
    <row r="762" spans="1:14" x14ac:dyDescent="0.25">
      <c r="A762" s="21" t="s">
        <v>1693</v>
      </c>
      <c r="B762" s="22" t="s">
        <v>1694</v>
      </c>
      <c r="C762" s="21"/>
      <c r="N762" t="str">
        <f>IF($B$1="","",IF(ISNUMBER(SEARCH($B$1,$A762&amp;" "&amp;$B762)),MAX($N$3:N761)+1,""))</f>
        <v/>
      </c>
    </row>
    <row r="763" spans="1:14" x14ac:dyDescent="0.25">
      <c r="A763" s="21" t="s">
        <v>1695</v>
      </c>
      <c r="B763" s="22" t="s">
        <v>1696</v>
      </c>
      <c r="C763" s="21"/>
      <c r="N763" t="str">
        <f>IF($B$1="","",IF(ISNUMBER(SEARCH($B$1,$A763&amp;" "&amp;$B763)),MAX($N$3:N762)+1,""))</f>
        <v/>
      </c>
    </row>
    <row r="764" spans="1:14" x14ac:dyDescent="0.25">
      <c r="A764" s="21" t="s">
        <v>1697</v>
      </c>
      <c r="B764" s="22" t="s">
        <v>28</v>
      </c>
      <c r="C764" s="21"/>
      <c r="N764" t="str">
        <f>IF($B$1="","",IF(ISNUMBER(SEARCH($B$1,$A764&amp;" "&amp;$B764)),MAX($N$3:N763)+1,""))</f>
        <v/>
      </c>
    </row>
    <row r="765" spans="1:14" x14ac:dyDescent="0.25">
      <c r="A765" s="21" t="s">
        <v>1698</v>
      </c>
      <c r="B765" s="22" t="s">
        <v>17</v>
      </c>
      <c r="C765" s="21"/>
      <c r="N765" t="str">
        <f>IF($B$1="","",IF(ISNUMBER(SEARCH($B$1,$A765&amp;" "&amp;$B765)),MAX($N$3:N764)+1,""))</f>
        <v/>
      </c>
    </row>
    <row r="766" spans="1:14" x14ac:dyDescent="0.25">
      <c r="A766" s="21" t="s">
        <v>1699</v>
      </c>
      <c r="B766" s="22" t="s">
        <v>1700</v>
      </c>
      <c r="C766" s="21"/>
      <c r="N766" t="str">
        <f>IF($B$1="","",IF(ISNUMBER(SEARCH($B$1,$A766&amp;" "&amp;$B766)),MAX($N$3:N765)+1,""))</f>
        <v/>
      </c>
    </row>
    <row r="767" spans="1:14" x14ac:dyDescent="0.25">
      <c r="A767" s="21" t="s">
        <v>1701</v>
      </c>
      <c r="B767" s="22" t="s">
        <v>1702</v>
      </c>
      <c r="C767" s="21"/>
      <c r="N767" t="str">
        <f>IF($B$1="","",IF(ISNUMBER(SEARCH($B$1,$A767&amp;" "&amp;$B767)),MAX($N$3:N766)+1,""))</f>
        <v/>
      </c>
    </row>
    <row r="768" spans="1:14" x14ac:dyDescent="0.25">
      <c r="A768" s="21" t="s">
        <v>1703</v>
      </c>
      <c r="B768" s="22" t="s">
        <v>1704</v>
      </c>
      <c r="C768" s="21"/>
      <c r="N768" t="str">
        <f>IF($B$1="","",IF(ISNUMBER(SEARCH($B$1,$A768&amp;" "&amp;$B768)),MAX($N$3:N767)+1,""))</f>
        <v/>
      </c>
    </row>
    <row r="769" spans="1:14" x14ac:dyDescent="0.25">
      <c r="A769" s="21" t="s">
        <v>1705</v>
      </c>
      <c r="B769" s="22" t="s">
        <v>1706</v>
      </c>
      <c r="C769" s="21"/>
      <c r="N769" t="str">
        <f>IF($B$1="","",IF(ISNUMBER(SEARCH($B$1,$A769&amp;" "&amp;$B769)),MAX($N$3:N768)+1,""))</f>
        <v/>
      </c>
    </row>
    <row r="770" spans="1:14" x14ac:dyDescent="0.25">
      <c r="A770" s="21" t="s">
        <v>1707</v>
      </c>
      <c r="B770" s="22" t="s">
        <v>1708</v>
      </c>
      <c r="C770" s="21"/>
      <c r="N770" t="str">
        <f>IF($B$1="","",IF(ISNUMBER(SEARCH($B$1,$A770&amp;" "&amp;$B770)),MAX($N$3:N769)+1,""))</f>
        <v/>
      </c>
    </row>
    <row r="771" spans="1:14" x14ac:dyDescent="0.25">
      <c r="A771" s="21" t="s">
        <v>1709</v>
      </c>
      <c r="B771" s="22" t="s">
        <v>1710</v>
      </c>
      <c r="C771" s="21"/>
      <c r="N771" t="str">
        <f>IF($B$1="","",IF(ISNUMBER(SEARCH($B$1,$A771&amp;" "&amp;$B771)),MAX($N$3:N770)+1,""))</f>
        <v/>
      </c>
    </row>
    <row r="772" spans="1:14" x14ac:dyDescent="0.25">
      <c r="A772" s="21" t="s">
        <v>1711</v>
      </c>
      <c r="B772" s="22" t="s">
        <v>1712</v>
      </c>
      <c r="C772" s="21"/>
      <c r="N772" t="str">
        <f>IF($B$1="","",IF(ISNUMBER(SEARCH($B$1,$A772&amp;" "&amp;$B772)),MAX($N$3:N771)+1,""))</f>
        <v/>
      </c>
    </row>
    <row r="773" spans="1:14" x14ac:dyDescent="0.25">
      <c r="A773" s="21" t="s">
        <v>1713</v>
      </c>
      <c r="B773" s="22" t="s">
        <v>46</v>
      </c>
      <c r="C773" s="21"/>
      <c r="N773" t="str">
        <f>IF($B$1="","",IF(ISNUMBER(SEARCH($B$1,$A773&amp;" "&amp;$B773)),MAX($N$3:N772)+1,""))</f>
        <v/>
      </c>
    </row>
    <row r="774" spans="1:14" x14ac:dyDescent="0.25">
      <c r="A774" s="21" t="s">
        <v>1714</v>
      </c>
      <c r="B774" s="22" t="s">
        <v>1715</v>
      </c>
      <c r="C774" s="21"/>
      <c r="N774" t="str">
        <f>IF($B$1="","",IF(ISNUMBER(SEARCH($B$1,$A774&amp;" "&amp;$B774)),MAX($N$3:N773)+1,""))</f>
        <v/>
      </c>
    </row>
    <row r="775" spans="1:14" x14ac:dyDescent="0.25">
      <c r="A775" s="21" t="s">
        <v>1716</v>
      </c>
      <c r="B775" s="22" t="s">
        <v>47</v>
      </c>
      <c r="C775" s="21"/>
      <c r="N775" t="str">
        <f>IF($B$1="","",IF(ISNUMBER(SEARCH($B$1,$A775&amp;" "&amp;$B775)),MAX($N$3:N774)+1,""))</f>
        <v/>
      </c>
    </row>
    <row r="776" spans="1:14" x14ac:dyDescent="0.25">
      <c r="A776" s="21" t="s">
        <v>1717</v>
      </c>
      <c r="B776" s="22" t="s">
        <v>1718</v>
      </c>
      <c r="C776" s="21"/>
      <c r="N776" t="str">
        <f>IF($B$1="","",IF(ISNUMBER(SEARCH($B$1,$A776&amp;" "&amp;$B776)),MAX($N$3:N775)+1,""))</f>
        <v/>
      </c>
    </row>
    <row r="777" spans="1:14" x14ac:dyDescent="0.25">
      <c r="A777" s="21" t="s">
        <v>1719</v>
      </c>
      <c r="B777" s="22" t="s">
        <v>1720</v>
      </c>
      <c r="C777" s="21"/>
      <c r="N777" t="str">
        <f>IF($B$1="","",IF(ISNUMBER(SEARCH($B$1,$A777&amp;" "&amp;$B777)),MAX($N$3:N776)+1,""))</f>
        <v/>
      </c>
    </row>
    <row r="778" spans="1:14" x14ac:dyDescent="0.25">
      <c r="A778" s="21" t="s">
        <v>1721</v>
      </c>
      <c r="B778" s="22" t="s">
        <v>1722</v>
      </c>
      <c r="C778" s="21"/>
      <c r="N778" t="str">
        <f>IF($B$1="","",IF(ISNUMBER(SEARCH($B$1,$A778&amp;" "&amp;$B778)),MAX($N$3:N777)+1,""))</f>
        <v/>
      </c>
    </row>
    <row r="779" spans="1:14" x14ac:dyDescent="0.25">
      <c r="A779" s="21" t="s">
        <v>1723</v>
      </c>
      <c r="B779" s="22" t="s">
        <v>1724</v>
      </c>
      <c r="C779" s="21"/>
      <c r="N779" t="str">
        <f>IF($B$1="","",IF(ISNUMBER(SEARCH($B$1,$A779&amp;" "&amp;$B779)),MAX($N$3:N778)+1,""))</f>
        <v/>
      </c>
    </row>
    <row r="780" spans="1:14" x14ac:dyDescent="0.25">
      <c r="A780" s="21" t="s">
        <v>1725</v>
      </c>
      <c r="B780" s="22" t="s">
        <v>29</v>
      </c>
      <c r="C780" s="21"/>
      <c r="N780" t="str">
        <f>IF($B$1="","",IF(ISNUMBER(SEARCH($B$1,$A780&amp;" "&amp;$B780)),MAX($N$3:N779)+1,""))</f>
        <v/>
      </c>
    </row>
    <row r="781" spans="1:14" x14ac:dyDescent="0.25">
      <c r="A781" s="21" t="s">
        <v>1726</v>
      </c>
      <c r="B781" s="22" t="s">
        <v>16</v>
      </c>
      <c r="C781" s="21"/>
      <c r="N781" t="str">
        <f>IF($B$1="","",IF(ISNUMBER(SEARCH($B$1,$A781&amp;" "&amp;$B781)),MAX($N$3:N780)+1,""))</f>
        <v/>
      </c>
    </row>
    <row r="782" spans="1:14" x14ac:dyDescent="0.25">
      <c r="A782" s="21" t="s">
        <v>1727</v>
      </c>
      <c r="B782" s="22" t="s">
        <v>1728</v>
      </c>
      <c r="C782" s="21"/>
      <c r="N782" t="str">
        <f>IF($B$1="","",IF(ISNUMBER(SEARCH($B$1,$A782&amp;" "&amp;$B782)),MAX($N$3:N781)+1,""))</f>
        <v/>
      </c>
    </row>
    <row r="783" spans="1:14" x14ac:dyDescent="0.25">
      <c r="A783" s="21" t="s">
        <v>1729</v>
      </c>
      <c r="B783" s="22" t="s">
        <v>1730</v>
      </c>
      <c r="C783" s="21"/>
      <c r="N783" t="str">
        <f>IF($B$1="","",IF(ISNUMBER(SEARCH($B$1,$A783&amp;" "&amp;$B783)),MAX($N$3:N782)+1,""))</f>
        <v/>
      </c>
    </row>
    <row r="784" spans="1:14" x14ac:dyDescent="0.25">
      <c r="A784" s="21" t="s">
        <v>1731</v>
      </c>
      <c r="B784" s="22" t="s">
        <v>1732</v>
      </c>
      <c r="C784" s="21"/>
      <c r="N784" t="str">
        <f>IF($B$1="","",IF(ISNUMBER(SEARCH($B$1,$A784&amp;" "&amp;$B784)),MAX($N$3:N783)+1,""))</f>
        <v/>
      </c>
    </row>
    <row r="785" spans="1:14" x14ac:dyDescent="0.25">
      <c r="A785" s="21" t="s">
        <v>1733</v>
      </c>
      <c r="B785" s="22" t="s">
        <v>1734</v>
      </c>
      <c r="C785" s="21"/>
      <c r="N785" t="str">
        <f>IF($B$1="","",IF(ISNUMBER(SEARCH($B$1,$A785&amp;" "&amp;$B785)),MAX($N$3:N784)+1,""))</f>
        <v/>
      </c>
    </row>
    <row r="786" spans="1:14" x14ac:dyDescent="0.25">
      <c r="A786" s="21" t="s">
        <v>1735</v>
      </c>
      <c r="B786" s="22" t="s">
        <v>1736</v>
      </c>
      <c r="C786" s="21"/>
      <c r="N786" t="str">
        <f>IF($B$1="","",IF(ISNUMBER(SEARCH($B$1,$A786&amp;" "&amp;$B786)),MAX($N$3:N785)+1,""))</f>
        <v/>
      </c>
    </row>
    <row r="787" spans="1:14" x14ac:dyDescent="0.25">
      <c r="A787" s="21" t="s">
        <v>1737</v>
      </c>
      <c r="B787" s="22" t="s">
        <v>48</v>
      </c>
      <c r="C787" s="21"/>
      <c r="N787" t="str">
        <f>IF($B$1="","",IF(ISNUMBER(SEARCH($B$1,$A787&amp;" "&amp;$B787)),MAX($N$3:N786)+1,""))</f>
        <v/>
      </c>
    </row>
    <row r="788" spans="1:14" x14ac:dyDescent="0.25">
      <c r="A788" s="21" t="s">
        <v>1738</v>
      </c>
      <c r="B788" s="22" t="s">
        <v>1739</v>
      </c>
      <c r="C788" s="21"/>
      <c r="N788" t="str">
        <f>IF($B$1="","",IF(ISNUMBER(SEARCH($B$1,$A788&amp;" "&amp;$B788)),MAX($N$3:N787)+1,""))</f>
        <v/>
      </c>
    </row>
    <row r="789" spans="1:14" x14ac:dyDescent="0.25">
      <c r="A789" s="21" t="s">
        <v>1740</v>
      </c>
      <c r="B789" s="22" t="s">
        <v>1741</v>
      </c>
      <c r="C789" s="21"/>
      <c r="N789" t="str">
        <f>IF($B$1="","",IF(ISNUMBER(SEARCH($B$1,$A789&amp;" "&amp;$B789)),MAX($N$3:N788)+1,""))</f>
        <v/>
      </c>
    </row>
    <row r="790" spans="1:14" x14ac:dyDescent="0.25">
      <c r="A790" s="21" t="s">
        <v>1742</v>
      </c>
      <c r="B790" s="22" t="s">
        <v>1743</v>
      </c>
      <c r="C790" s="21"/>
      <c r="N790" t="str">
        <f>IF($B$1="","",IF(ISNUMBER(SEARCH($B$1,$A790&amp;" "&amp;$B790)),MAX($N$3:N789)+1,""))</f>
        <v/>
      </c>
    </row>
    <row r="791" spans="1:14" x14ac:dyDescent="0.25">
      <c r="A791" s="21" t="s">
        <v>1744</v>
      </c>
      <c r="B791" s="22" t="s">
        <v>1745</v>
      </c>
      <c r="C791" s="21"/>
      <c r="N791" t="str">
        <f>IF($B$1="","",IF(ISNUMBER(SEARCH($B$1,$A791&amp;" "&amp;$B791)),MAX($N$3:N790)+1,""))</f>
        <v/>
      </c>
    </row>
    <row r="792" spans="1:14" x14ac:dyDescent="0.25">
      <c r="A792" s="21" t="s">
        <v>1746</v>
      </c>
      <c r="B792" s="22" t="s">
        <v>1747</v>
      </c>
      <c r="C792" s="21"/>
      <c r="N792" t="str">
        <f>IF($B$1="","",IF(ISNUMBER(SEARCH($B$1,$A792&amp;" "&amp;$B792)),MAX($N$3:N791)+1,""))</f>
        <v/>
      </c>
    </row>
    <row r="793" spans="1:14" x14ac:dyDescent="0.25">
      <c r="A793" s="21" t="s">
        <v>1748</v>
      </c>
      <c r="B793" s="22" t="s">
        <v>1749</v>
      </c>
      <c r="C793" s="21"/>
      <c r="N793" t="str">
        <f>IF($B$1="","",IF(ISNUMBER(SEARCH($B$1,$A793&amp;" "&amp;$B793)),MAX($N$3:N792)+1,""))</f>
        <v/>
      </c>
    </row>
    <row r="794" spans="1:14" x14ac:dyDescent="0.25">
      <c r="A794" s="21" t="s">
        <v>1750</v>
      </c>
      <c r="B794" s="22" t="s">
        <v>1751</v>
      </c>
      <c r="C794" s="21"/>
      <c r="N794" t="str">
        <f>IF($B$1="","",IF(ISNUMBER(SEARCH($B$1,$A794&amp;" "&amp;$B794)),MAX($N$3:N793)+1,""))</f>
        <v/>
      </c>
    </row>
    <row r="795" spans="1:14" x14ac:dyDescent="0.25">
      <c r="A795" s="21" t="s">
        <v>1752</v>
      </c>
      <c r="B795" s="22" t="s">
        <v>1753</v>
      </c>
      <c r="C795" s="21"/>
      <c r="N795" t="str">
        <f>IF($B$1="","",IF(ISNUMBER(SEARCH($B$1,$A795&amp;" "&amp;$B795)),MAX($N$3:N794)+1,""))</f>
        <v/>
      </c>
    </row>
    <row r="796" spans="1:14" x14ac:dyDescent="0.25">
      <c r="A796" s="21" t="s">
        <v>1754</v>
      </c>
      <c r="B796" s="22" t="s">
        <v>1755</v>
      </c>
      <c r="C796" s="21"/>
      <c r="N796" t="str">
        <f>IF($B$1="","",IF(ISNUMBER(SEARCH($B$1,$A796&amp;" "&amp;$B796)),MAX($N$3:N795)+1,""))</f>
        <v/>
      </c>
    </row>
    <row r="797" spans="1:14" x14ac:dyDescent="0.25">
      <c r="A797" s="21" t="s">
        <v>1756</v>
      </c>
      <c r="B797" s="22" t="s">
        <v>1757</v>
      </c>
      <c r="C797" s="21"/>
      <c r="N797" t="str">
        <f>IF($B$1="","",IF(ISNUMBER(SEARCH($B$1,$A797&amp;" "&amp;$B797)),MAX($N$3:N796)+1,""))</f>
        <v/>
      </c>
    </row>
    <row r="798" spans="1:14" x14ac:dyDescent="0.25">
      <c r="A798" s="21" t="s">
        <v>1758</v>
      </c>
      <c r="B798" s="22" t="s">
        <v>1759</v>
      </c>
      <c r="C798" s="21"/>
      <c r="N798" t="str">
        <f>IF($B$1="","",IF(ISNUMBER(SEARCH($B$1,$A798&amp;" "&amp;$B798)),MAX($N$3:N797)+1,""))</f>
        <v/>
      </c>
    </row>
    <row r="799" spans="1:14" x14ac:dyDescent="0.25">
      <c r="A799" s="21" t="s">
        <v>1760</v>
      </c>
      <c r="B799" s="22" t="s">
        <v>1761</v>
      </c>
      <c r="C799" s="21"/>
      <c r="N799" t="str">
        <f>IF($B$1="","",IF(ISNUMBER(SEARCH($B$1,$A799&amp;" "&amp;$B799)),MAX($N$3:N798)+1,""))</f>
        <v/>
      </c>
    </row>
    <row r="800" spans="1:14" x14ac:dyDescent="0.25">
      <c r="A800" s="21" t="s">
        <v>1762</v>
      </c>
      <c r="B800" s="22" t="s">
        <v>1763</v>
      </c>
      <c r="C800" s="21"/>
      <c r="N800" t="str">
        <f>IF($B$1="","",IF(ISNUMBER(SEARCH($B$1,$A800&amp;" "&amp;$B800)),MAX($N$3:N799)+1,""))</f>
        <v/>
      </c>
    </row>
    <row r="801" spans="1:14" x14ac:dyDescent="0.25">
      <c r="A801" s="21" t="s">
        <v>1764</v>
      </c>
      <c r="B801" s="22" t="s">
        <v>1765</v>
      </c>
      <c r="C801" s="21"/>
      <c r="N801" t="str">
        <f>IF($B$1="","",IF(ISNUMBER(SEARCH($B$1,$A801&amp;" "&amp;$B801)),MAX($N$3:N800)+1,""))</f>
        <v/>
      </c>
    </row>
    <row r="802" spans="1:14" x14ac:dyDescent="0.25">
      <c r="A802" s="21" t="s">
        <v>1766</v>
      </c>
      <c r="B802" s="22" t="s">
        <v>1767</v>
      </c>
      <c r="C802" s="21"/>
      <c r="N802" t="str">
        <f>IF($B$1="","",IF(ISNUMBER(SEARCH($B$1,$A802&amp;" "&amp;$B802)),MAX($N$3:N801)+1,""))</f>
        <v/>
      </c>
    </row>
    <row r="803" spans="1:14" x14ac:dyDescent="0.25">
      <c r="A803" s="21" t="s">
        <v>1768</v>
      </c>
      <c r="B803" s="22" t="s">
        <v>1769</v>
      </c>
      <c r="C803" s="21"/>
      <c r="N803" t="str">
        <f>IF($B$1="","",IF(ISNUMBER(SEARCH($B$1,$A803&amp;" "&amp;$B803)),MAX($N$3:N802)+1,""))</f>
        <v/>
      </c>
    </row>
    <row r="804" spans="1:14" x14ac:dyDescent="0.25">
      <c r="A804" s="21" t="s">
        <v>1770</v>
      </c>
      <c r="B804" s="22" t="s">
        <v>1771</v>
      </c>
      <c r="C804" s="21"/>
      <c r="N804" t="str">
        <f>IF($B$1="","",IF(ISNUMBER(SEARCH($B$1,$A804&amp;" "&amp;$B804)),MAX($N$3:N803)+1,""))</f>
        <v/>
      </c>
    </row>
    <row r="805" spans="1:14" x14ac:dyDescent="0.25">
      <c r="A805" s="21" t="s">
        <v>1772</v>
      </c>
      <c r="B805" s="22" t="s">
        <v>1773</v>
      </c>
      <c r="C805" s="21"/>
      <c r="N805" t="str">
        <f>IF($B$1="","",IF(ISNUMBER(SEARCH($B$1,$A805&amp;" "&amp;$B805)),MAX($N$3:N804)+1,""))</f>
        <v/>
      </c>
    </row>
    <row r="806" spans="1:14" x14ac:dyDescent="0.25">
      <c r="A806" s="21" t="s">
        <v>1774</v>
      </c>
      <c r="B806" s="22" t="s">
        <v>1775</v>
      </c>
      <c r="C806" s="21"/>
      <c r="N806" t="str">
        <f>IF($B$1="","",IF(ISNUMBER(SEARCH($B$1,$A806&amp;" "&amp;$B806)),MAX($N$3:N805)+1,""))</f>
        <v/>
      </c>
    </row>
    <row r="807" spans="1:14" x14ac:dyDescent="0.25">
      <c r="A807" s="21" t="s">
        <v>1776</v>
      </c>
      <c r="B807" s="22" t="s">
        <v>1777</v>
      </c>
      <c r="C807" s="21"/>
      <c r="N807" t="str">
        <f>IF($B$1="","",IF(ISNUMBER(SEARCH($B$1,$A807&amp;" "&amp;$B807)),MAX($N$3:N806)+1,""))</f>
        <v/>
      </c>
    </row>
    <row r="808" spans="1:14" x14ac:dyDescent="0.25">
      <c r="A808" s="21" t="s">
        <v>1778</v>
      </c>
      <c r="B808" s="22" t="s">
        <v>1779</v>
      </c>
      <c r="C808" s="21"/>
      <c r="N808" t="str">
        <f>IF($B$1="","",IF(ISNUMBER(SEARCH($B$1,$A808&amp;" "&amp;$B808)),MAX($N$3:N807)+1,""))</f>
        <v/>
      </c>
    </row>
    <row r="809" spans="1:14" x14ac:dyDescent="0.25">
      <c r="A809" s="21" t="s">
        <v>1780</v>
      </c>
      <c r="B809" s="22" t="s">
        <v>1781</v>
      </c>
      <c r="C809" s="21"/>
      <c r="N809" t="str">
        <f>IF($B$1="","",IF(ISNUMBER(SEARCH($B$1,$A809&amp;" "&amp;$B809)),MAX($N$3:N808)+1,""))</f>
        <v/>
      </c>
    </row>
    <row r="810" spans="1:14" x14ac:dyDescent="0.25">
      <c r="A810" s="21" t="s">
        <v>1782</v>
      </c>
      <c r="B810" s="22" t="s">
        <v>1783</v>
      </c>
      <c r="C810" s="21"/>
      <c r="N810" t="str">
        <f>IF($B$1="","",IF(ISNUMBER(SEARCH($B$1,$A810&amp;" "&amp;$B810)),MAX($N$3:N809)+1,""))</f>
        <v/>
      </c>
    </row>
    <row r="811" spans="1:14" x14ac:dyDescent="0.25">
      <c r="A811" s="21" t="s">
        <v>1784</v>
      </c>
      <c r="B811" s="22" t="s">
        <v>1785</v>
      </c>
      <c r="C811" s="21"/>
      <c r="N811" t="str">
        <f>IF($B$1="","",IF(ISNUMBER(SEARCH($B$1,$A811&amp;" "&amp;$B811)),MAX($N$3:N810)+1,""))</f>
        <v/>
      </c>
    </row>
    <row r="812" spans="1:14" x14ac:dyDescent="0.25">
      <c r="A812" s="21" t="s">
        <v>1786</v>
      </c>
      <c r="B812" s="22" t="s">
        <v>1787</v>
      </c>
      <c r="C812" s="21"/>
      <c r="N812" t="str">
        <f>IF($B$1="","",IF(ISNUMBER(SEARCH($B$1,$A812&amp;" "&amp;$B812)),MAX($N$3:N811)+1,""))</f>
        <v/>
      </c>
    </row>
    <row r="813" spans="1:14" x14ac:dyDescent="0.25">
      <c r="A813" s="21" t="s">
        <v>1788</v>
      </c>
      <c r="B813" s="22" t="s">
        <v>1789</v>
      </c>
      <c r="C813" s="21"/>
      <c r="N813" t="str">
        <f>IF($B$1="","",IF(ISNUMBER(SEARCH($B$1,$A813&amp;" "&amp;$B813)),MAX($N$3:N812)+1,""))</f>
        <v/>
      </c>
    </row>
    <row r="814" spans="1:14" x14ac:dyDescent="0.25">
      <c r="A814" s="21" t="s">
        <v>1790</v>
      </c>
      <c r="B814" s="22" t="s">
        <v>1791</v>
      </c>
      <c r="C814" s="21"/>
      <c r="N814" t="str">
        <f>IF($B$1="","",IF(ISNUMBER(SEARCH($B$1,$A814&amp;" "&amp;$B814)),MAX($N$3:N813)+1,""))</f>
        <v/>
      </c>
    </row>
    <row r="815" spans="1:14" x14ac:dyDescent="0.25">
      <c r="A815" s="21" t="s">
        <v>1792</v>
      </c>
      <c r="B815" s="22" t="s">
        <v>1793</v>
      </c>
      <c r="C815" s="21"/>
      <c r="N815" t="str">
        <f>IF($B$1="","",IF(ISNUMBER(SEARCH($B$1,$A815&amp;" "&amp;$B815)),MAX($N$3:N814)+1,""))</f>
        <v/>
      </c>
    </row>
    <row r="816" spans="1:14" x14ac:dyDescent="0.25">
      <c r="A816" s="21" t="s">
        <v>1794</v>
      </c>
      <c r="B816" s="22" t="s">
        <v>1795</v>
      </c>
      <c r="C816" s="21"/>
      <c r="N816" t="str">
        <f>IF($B$1="","",IF(ISNUMBER(SEARCH($B$1,$A816&amp;" "&amp;$B816)),MAX($N$3:N815)+1,""))</f>
        <v/>
      </c>
    </row>
    <row r="817" spans="1:14" x14ac:dyDescent="0.25">
      <c r="A817" s="21" t="s">
        <v>1796</v>
      </c>
      <c r="B817" s="22" t="s">
        <v>1797</v>
      </c>
      <c r="C817" s="21"/>
      <c r="N817" t="str">
        <f>IF($B$1="","",IF(ISNUMBER(SEARCH($B$1,$A817&amp;" "&amp;$B817)),MAX($N$3:N816)+1,""))</f>
        <v/>
      </c>
    </row>
    <row r="818" spans="1:14" x14ac:dyDescent="0.25">
      <c r="A818" s="21" t="s">
        <v>1798</v>
      </c>
      <c r="B818" s="22" t="s">
        <v>1799</v>
      </c>
      <c r="C818" s="21"/>
      <c r="N818" t="str">
        <f>IF($B$1="","",IF(ISNUMBER(SEARCH($B$1,$A818&amp;" "&amp;$B818)),MAX($N$3:N817)+1,""))</f>
        <v/>
      </c>
    </row>
    <row r="819" spans="1:14" x14ac:dyDescent="0.25">
      <c r="A819" s="21" t="s">
        <v>1800</v>
      </c>
      <c r="B819" s="22" t="s">
        <v>1801</v>
      </c>
      <c r="C819" s="21"/>
      <c r="N819" t="str">
        <f>IF($B$1="","",IF(ISNUMBER(SEARCH($B$1,$A819&amp;" "&amp;$B819)),MAX($N$3:N818)+1,""))</f>
        <v/>
      </c>
    </row>
    <row r="820" spans="1:14" x14ac:dyDescent="0.25">
      <c r="A820" s="21" t="s">
        <v>1802</v>
      </c>
      <c r="B820" s="22" t="s">
        <v>1803</v>
      </c>
      <c r="C820" s="21"/>
      <c r="N820" t="str">
        <f>IF($B$1="","",IF(ISNUMBER(SEARCH($B$1,$A820&amp;" "&amp;$B820)),MAX($N$3:N819)+1,""))</f>
        <v/>
      </c>
    </row>
    <row r="821" spans="1:14" x14ac:dyDescent="0.25">
      <c r="A821" s="21" t="s">
        <v>1804</v>
      </c>
      <c r="B821" s="22" t="s">
        <v>1805</v>
      </c>
      <c r="C821" s="21"/>
      <c r="N821" t="str">
        <f>IF($B$1="","",IF(ISNUMBER(SEARCH($B$1,$A821&amp;" "&amp;$B821)),MAX($N$3:N820)+1,""))</f>
        <v/>
      </c>
    </row>
    <row r="822" spans="1:14" x14ac:dyDescent="0.25">
      <c r="A822" s="21" t="s">
        <v>1806</v>
      </c>
      <c r="B822" s="22" t="s">
        <v>1807</v>
      </c>
      <c r="C822" s="21"/>
      <c r="N822" t="str">
        <f>IF($B$1="","",IF(ISNUMBER(SEARCH($B$1,$A822&amp;" "&amp;$B822)),MAX($N$3:N821)+1,""))</f>
        <v/>
      </c>
    </row>
    <row r="823" spans="1:14" x14ac:dyDescent="0.25">
      <c r="A823" s="21" t="s">
        <v>1808</v>
      </c>
      <c r="B823" s="22" t="s">
        <v>1809</v>
      </c>
      <c r="C823" s="21"/>
      <c r="N823" t="str">
        <f>IF($B$1="","",IF(ISNUMBER(SEARCH($B$1,$A823&amp;" "&amp;$B823)),MAX($N$3:N822)+1,""))</f>
        <v/>
      </c>
    </row>
    <row r="824" spans="1:14" x14ac:dyDescent="0.25">
      <c r="A824" s="21" t="s">
        <v>1810</v>
      </c>
      <c r="B824" s="22" t="s">
        <v>1811</v>
      </c>
      <c r="C824" s="21"/>
      <c r="N824" t="str">
        <f>IF($B$1="","",IF(ISNUMBER(SEARCH($B$1,$A824&amp;" "&amp;$B824)),MAX($N$3:N823)+1,""))</f>
        <v/>
      </c>
    </row>
    <row r="825" spans="1:14" x14ac:dyDescent="0.25">
      <c r="A825" s="21" t="s">
        <v>1812</v>
      </c>
      <c r="B825" s="22" t="s">
        <v>1813</v>
      </c>
      <c r="C825" s="21"/>
      <c r="N825" t="str">
        <f>IF($B$1="","",IF(ISNUMBER(SEARCH($B$1,$A825&amp;" "&amp;$B825)),MAX($N$3:N824)+1,""))</f>
        <v/>
      </c>
    </row>
    <row r="826" spans="1:14" x14ac:dyDescent="0.25">
      <c r="A826" s="21" t="s">
        <v>1814</v>
      </c>
      <c r="B826" s="22" t="s">
        <v>1815</v>
      </c>
      <c r="C826" s="21"/>
      <c r="N826" t="str">
        <f>IF($B$1="","",IF(ISNUMBER(SEARCH($B$1,$A826&amp;" "&amp;$B826)),MAX($N$3:N825)+1,""))</f>
        <v/>
      </c>
    </row>
    <row r="827" spans="1:14" x14ac:dyDescent="0.25">
      <c r="A827" s="21" t="s">
        <v>1816</v>
      </c>
      <c r="B827" s="22" t="s">
        <v>1817</v>
      </c>
      <c r="C827" s="21"/>
      <c r="N827" t="str">
        <f>IF($B$1="","",IF(ISNUMBER(SEARCH($B$1,$A827&amp;" "&amp;$B827)),MAX($N$3:N826)+1,""))</f>
        <v/>
      </c>
    </row>
    <row r="828" spans="1:14" x14ac:dyDescent="0.25">
      <c r="A828" s="21" t="s">
        <v>1818</v>
      </c>
      <c r="B828" s="22" t="s">
        <v>1819</v>
      </c>
      <c r="C828" s="21"/>
      <c r="N828" t="str">
        <f>IF($B$1="","",IF(ISNUMBER(SEARCH($B$1,$A828&amp;" "&amp;$B828)),MAX($N$3:N827)+1,""))</f>
        <v/>
      </c>
    </row>
    <row r="829" spans="1:14" x14ac:dyDescent="0.25">
      <c r="A829" s="21" t="s">
        <v>1820</v>
      </c>
      <c r="B829" s="22" t="s">
        <v>1821</v>
      </c>
      <c r="C829" s="21"/>
      <c r="N829" t="str">
        <f>IF($B$1="","",IF(ISNUMBER(SEARCH($B$1,$A829&amp;" "&amp;$B829)),MAX($N$3:N828)+1,""))</f>
        <v/>
      </c>
    </row>
    <row r="830" spans="1:14" x14ac:dyDescent="0.25">
      <c r="A830" s="21" t="s">
        <v>1822</v>
      </c>
      <c r="B830" s="22" t="s">
        <v>1823</v>
      </c>
      <c r="C830" s="21"/>
      <c r="N830" t="str">
        <f>IF($B$1="","",IF(ISNUMBER(SEARCH($B$1,$A830&amp;" "&amp;$B830)),MAX($N$3:N829)+1,""))</f>
        <v/>
      </c>
    </row>
    <row r="831" spans="1:14" x14ac:dyDescent="0.25">
      <c r="A831" s="21" t="s">
        <v>1824</v>
      </c>
      <c r="B831" s="22" t="s">
        <v>1825</v>
      </c>
      <c r="C831" s="21"/>
      <c r="N831" t="str">
        <f>IF($B$1="","",IF(ISNUMBER(SEARCH($B$1,$A831&amp;" "&amp;$B831)),MAX($N$3:N830)+1,""))</f>
        <v/>
      </c>
    </row>
    <row r="832" spans="1:14" x14ac:dyDescent="0.25">
      <c r="A832" s="21" t="s">
        <v>1826</v>
      </c>
      <c r="B832" s="22" t="s">
        <v>1827</v>
      </c>
      <c r="C832" s="21"/>
      <c r="N832" t="str">
        <f>IF($B$1="","",IF(ISNUMBER(SEARCH($B$1,$A832&amp;" "&amp;$B832)),MAX($N$3:N831)+1,""))</f>
        <v/>
      </c>
    </row>
    <row r="833" spans="1:14" x14ac:dyDescent="0.25">
      <c r="A833" s="21" t="s">
        <v>1828</v>
      </c>
      <c r="B833" s="22" t="s">
        <v>49</v>
      </c>
      <c r="C833" s="21"/>
      <c r="N833" t="str">
        <f>IF($B$1="","",IF(ISNUMBER(SEARCH($B$1,$A833&amp;" "&amp;$B833)),MAX($N$3:N832)+1,""))</f>
        <v/>
      </c>
    </row>
    <row r="834" spans="1:14" x14ac:dyDescent="0.25">
      <c r="A834" s="21" t="s">
        <v>1829</v>
      </c>
      <c r="B834" s="22" t="s">
        <v>1830</v>
      </c>
      <c r="C834" s="21"/>
      <c r="N834" t="str">
        <f>IF($B$1="","",IF(ISNUMBER(SEARCH($B$1,$A834&amp;" "&amp;$B834)),MAX($N$3:N833)+1,""))</f>
        <v/>
      </c>
    </row>
    <row r="835" spans="1:14" x14ac:dyDescent="0.25">
      <c r="A835" s="21" t="s">
        <v>1831</v>
      </c>
      <c r="B835" s="22" t="s">
        <v>1832</v>
      </c>
      <c r="C835" s="21"/>
      <c r="N835" t="str">
        <f>IF($B$1="","",IF(ISNUMBER(SEARCH($B$1,$A835&amp;" "&amp;$B835)),MAX($N$3:N834)+1,""))</f>
        <v/>
      </c>
    </row>
    <row r="836" spans="1:14" x14ac:dyDescent="0.25">
      <c r="A836" s="21" t="s">
        <v>1833</v>
      </c>
      <c r="B836" s="22" t="s">
        <v>1834</v>
      </c>
      <c r="C836" s="21"/>
      <c r="N836" t="str">
        <f>IF($B$1="","",IF(ISNUMBER(SEARCH($B$1,$A836&amp;" "&amp;$B836)),MAX($N$3:N835)+1,""))</f>
        <v/>
      </c>
    </row>
    <row r="837" spans="1:14" x14ac:dyDescent="0.25">
      <c r="A837" s="21" t="s">
        <v>1835</v>
      </c>
      <c r="B837" s="22" t="s">
        <v>1836</v>
      </c>
      <c r="C837" s="21"/>
      <c r="N837" t="str">
        <f>IF($B$1="","",IF(ISNUMBER(SEARCH($B$1,$A837&amp;" "&amp;$B837)),MAX($N$3:N836)+1,""))</f>
        <v/>
      </c>
    </row>
    <row r="838" spans="1:14" x14ac:dyDescent="0.25">
      <c r="A838" s="21" t="s">
        <v>107</v>
      </c>
      <c r="B838" s="22" t="s">
        <v>56</v>
      </c>
      <c r="C838" s="21"/>
      <c r="N838" t="str">
        <f>IF($B$1="","",IF(ISNUMBER(SEARCH($B$1,$A838&amp;" "&amp;$B838)),MAX($N$3:N837)+1,""))</f>
        <v/>
      </c>
    </row>
    <row r="839" spans="1:14" x14ac:dyDescent="0.25">
      <c r="A839" s="21" t="s">
        <v>1837</v>
      </c>
      <c r="B839" s="22" t="s">
        <v>1838</v>
      </c>
      <c r="C839" s="21"/>
      <c r="N839" t="str">
        <f>IF($B$1="","",IF(ISNUMBER(SEARCH($B$1,$A839&amp;" "&amp;$B839)),MAX($N$3:N838)+1,""))</f>
        <v/>
      </c>
    </row>
    <row r="840" spans="1:14" x14ac:dyDescent="0.25">
      <c r="A840" s="21" t="s">
        <v>1839</v>
      </c>
      <c r="B840" s="22" t="s">
        <v>1840</v>
      </c>
      <c r="C840" s="21"/>
      <c r="N840" t="str">
        <f>IF($B$1="","",IF(ISNUMBER(SEARCH($B$1,$A840&amp;" "&amp;$B840)),MAX($N$3:N839)+1,""))</f>
        <v/>
      </c>
    </row>
    <row r="841" spans="1:14" x14ac:dyDescent="0.25">
      <c r="A841" s="21" t="s">
        <v>1841</v>
      </c>
      <c r="B841" s="22" t="s">
        <v>1842</v>
      </c>
      <c r="C841" s="21"/>
      <c r="N841" t="str">
        <f>IF($B$1="","",IF(ISNUMBER(SEARCH($B$1,$A841&amp;" "&amp;$B841)),MAX($N$3:N840)+1,""))</f>
        <v/>
      </c>
    </row>
    <row r="842" spans="1:14" x14ac:dyDescent="0.25">
      <c r="A842" s="21" t="s">
        <v>1843</v>
      </c>
      <c r="B842" s="22" t="s">
        <v>1844</v>
      </c>
      <c r="C842" s="21"/>
      <c r="N842" t="str">
        <f>IF($B$1="","",IF(ISNUMBER(SEARCH($B$1,$A842&amp;" "&amp;$B842)),MAX($N$3:N841)+1,""))</f>
        <v/>
      </c>
    </row>
    <row r="843" spans="1:14" x14ac:dyDescent="0.25">
      <c r="A843" s="21" t="s">
        <v>1845</v>
      </c>
      <c r="B843" s="22" t="s">
        <v>1846</v>
      </c>
      <c r="C843" s="21"/>
      <c r="N843" t="str">
        <f>IF($B$1="","",IF(ISNUMBER(SEARCH($B$1,$A843&amp;" "&amp;$B843)),MAX($N$3:N842)+1,""))</f>
        <v/>
      </c>
    </row>
    <row r="844" spans="1:14" x14ac:dyDescent="0.25">
      <c r="A844" s="21" t="s">
        <v>1847</v>
      </c>
      <c r="B844" s="22" t="s">
        <v>1848</v>
      </c>
      <c r="C844" s="21"/>
      <c r="N844" t="str">
        <f>IF($B$1="","",IF(ISNUMBER(SEARCH($B$1,$A844&amp;" "&amp;$B844)),MAX($N$3:N843)+1,""))</f>
        <v/>
      </c>
    </row>
    <row r="845" spans="1:14" x14ac:dyDescent="0.25">
      <c r="A845" s="21" t="s">
        <v>1849</v>
      </c>
      <c r="B845" s="22" t="s">
        <v>1850</v>
      </c>
      <c r="C845" s="21"/>
      <c r="N845" t="str">
        <f>IF($B$1="","",IF(ISNUMBER(SEARCH($B$1,$A845&amp;" "&amp;$B845)),MAX($N$3:N844)+1,""))</f>
        <v/>
      </c>
    </row>
    <row r="846" spans="1:14" x14ac:dyDescent="0.25">
      <c r="A846" s="21" t="s">
        <v>1851</v>
      </c>
      <c r="B846" s="22" t="s">
        <v>1852</v>
      </c>
      <c r="C846" s="21"/>
      <c r="N846" t="str">
        <f>IF($B$1="","",IF(ISNUMBER(SEARCH($B$1,$A846&amp;" "&amp;$B846)),MAX($N$3:N845)+1,""))</f>
        <v/>
      </c>
    </row>
    <row r="847" spans="1:14" x14ac:dyDescent="0.25">
      <c r="A847" s="21" t="s">
        <v>1853</v>
      </c>
      <c r="B847" s="22" t="s">
        <v>1854</v>
      </c>
      <c r="C847" s="21"/>
      <c r="N847" t="str">
        <f>IF($B$1="","",IF(ISNUMBER(SEARCH($B$1,$A847&amp;" "&amp;$B847)),MAX($N$3:N846)+1,""))</f>
        <v/>
      </c>
    </row>
    <row r="848" spans="1:14" x14ac:dyDescent="0.25">
      <c r="A848" s="21" t="s">
        <v>1855</v>
      </c>
      <c r="B848" s="22" t="s">
        <v>1856</v>
      </c>
      <c r="C848" s="21"/>
      <c r="N848" t="str">
        <f>IF($B$1="","",IF(ISNUMBER(SEARCH($B$1,$A848&amp;" "&amp;$B848)),MAX($N$3:N847)+1,""))</f>
        <v/>
      </c>
    </row>
    <row r="849" spans="1:14" x14ac:dyDescent="0.25">
      <c r="A849" s="21" t="s">
        <v>1857</v>
      </c>
      <c r="B849" s="22" t="s">
        <v>1858</v>
      </c>
      <c r="C849" s="21"/>
      <c r="N849" t="str">
        <f>IF($B$1="","",IF(ISNUMBER(SEARCH($B$1,$A849&amp;" "&amp;$B849)),MAX($N$3:N848)+1,""))</f>
        <v/>
      </c>
    </row>
    <row r="850" spans="1:14" x14ac:dyDescent="0.25">
      <c r="A850" s="21" t="s">
        <v>1859</v>
      </c>
      <c r="B850" s="22" t="s">
        <v>1860</v>
      </c>
      <c r="C850" s="21"/>
      <c r="N850" t="str">
        <f>IF($B$1="","",IF(ISNUMBER(SEARCH($B$1,$A850&amp;" "&amp;$B850)),MAX($N$3:N849)+1,""))</f>
        <v/>
      </c>
    </row>
    <row r="851" spans="1:14" x14ac:dyDescent="0.25">
      <c r="A851" s="21" t="s">
        <v>1861</v>
      </c>
      <c r="B851" s="22" t="s">
        <v>1862</v>
      </c>
      <c r="C851" s="21"/>
      <c r="N851" t="str">
        <f>IF($B$1="","",IF(ISNUMBER(SEARCH($B$1,$A851&amp;" "&amp;$B851)),MAX($N$3:N850)+1,""))</f>
        <v/>
      </c>
    </row>
    <row r="852" spans="1:14" x14ac:dyDescent="0.25">
      <c r="A852" s="21" t="s">
        <v>1863</v>
      </c>
      <c r="B852" s="22" t="s">
        <v>50</v>
      </c>
      <c r="C852" s="21"/>
      <c r="N852" t="str">
        <f>IF($B$1="","",IF(ISNUMBER(SEARCH($B$1,$A852&amp;" "&amp;$B852)),MAX($N$3:N851)+1,""))</f>
        <v/>
      </c>
    </row>
    <row r="853" spans="1:14" x14ac:dyDescent="0.25">
      <c r="A853" s="21" t="s">
        <v>1864</v>
      </c>
      <c r="B853" s="22" t="s">
        <v>1865</v>
      </c>
      <c r="C853" s="21"/>
      <c r="N853" t="str">
        <f>IF($B$1="","",IF(ISNUMBER(SEARCH($B$1,$A853&amp;" "&amp;$B853)),MAX($N$3:N852)+1,""))</f>
        <v/>
      </c>
    </row>
    <row r="854" spans="1:14" x14ac:dyDescent="0.25">
      <c r="A854" s="21" t="s">
        <v>1866</v>
      </c>
      <c r="B854" s="22" t="s">
        <v>1867</v>
      </c>
      <c r="C854" s="21"/>
      <c r="N854" t="str">
        <f>IF($B$1="","",IF(ISNUMBER(SEARCH($B$1,$A854&amp;" "&amp;$B854)),MAX($N$3:N853)+1,""))</f>
        <v/>
      </c>
    </row>
    <row r="855" spans="1:14" x14ac:dyDescent="0.25">
      <c r="A855" s="21" t="s">
        <v>1868</v>
      </c>
      <c r="B855" s="22" t="s">
        <v>1869</v>
      </c>
      <c r="C855" s="21"/>
      <c r="N855" t="str">
        <f>IF($B$1="","",IF(ISNUMBER(SEARCH($B$1,$A855&amp;" "&amp;$B855)),MAX($N$3:N854)+1,""))</f>
        <v/>
      </c>
    </row>
    <row r="856" spans="1:14" x14ac:dyDescent="0.25">
      <c r="A856" s="21" t="s">
        <v>1870</v>
      </c>
      <c r="B856" s="22" t="s">
        <v>1871</v>
      </c>
      <c r="C856" s="21"/>
      <c r="N856" t="str">
        <f>IF($B$1="","",IF(ISNUMBER(SEARCH($B$1,$A856&amp;" "&amp;$B856)),MAX($N$3:N855)+1,""))</f>
        <v/>
      </c>
    </row>
    <row r="857" spans="1:14" x14ac:dyDescent="0.25">
      <c r="A857" s="21" t="s">
        <v>1872</v>
      </c>
      <c r="B857" s="22" t="s">
        <v>1873</v>
      </c>
      <c r="C857" s="21"/>
      <c r="N857" t="str">
        <f>IF($B$1="","",IF(ISNUMBER(SEARCH($B$1,$A857&amp;" "&amp;$B857)),MAX($N$3:N856)+1,""))</f>
        <v/>
      </c>
    </row>
    <row r="858" spans="1:14" x14ac:dyDescent="0.25">
      <c r="A858" s="21" t="s">
        <v>1874</v>
      </c>
      <c r="B858" s="22" t="s">
        <v>1875</v>
      </c>
      <c r="C858" s="21"/>
      <c r="N858" t="str">
        <f>IF($B$1="","",IF(ISNUMBER(SEARCH($B$1,$A858&amp;" "&amp;$B858)),MAX($N$3:N857)+1,""))</f>
        <v/>
      </c>
    </row>
    <row r="859" spans="1:14" x14ac:dyDescent="0.25">
      <c r="A859" s="21" t="s">
        <v>1876</v>
      </c>
      <c r="B859" s="22" t="s">
        <v>1877</v>
      </c>
      <c r="C859" s="21"/>
      <c r="N859" t="str">
        <f>IF($B$1="","",IF(ISNUMBER(SEARCH($B$1,$A859&amp;" "&amp;$B859)),MAX($N$3:N858)+1,""))</f>
        <v/>
      </c>
    </row>
    <row r="860" spans="1:14" x14ac:dyDescent="0.25">
      <c r="A860" s="21" t="s">
        <v>1878</v>
      </c>
      <c r="B860" s="22" t="s">
        <v>1879</v>
      </c>
      <c r="C860" s="21"/>
      <c r="N860" t="str">
        <f>IF($B$1="","",IF(ISNUMBER(SEARCH($B$1,$A860&amp;" "&amp;$B860)),MAX($N$3:N859)+1,""))</f>
        <v/>
      </c>
    </row>
    <row r="861" spans="1:14" x14ac:dyDescent="0.25">
      <c r="A861" s="21" t="s">
        <v>1880</v>
      </c>
      <c r="B861" s="22" t="s">
        <v>1881</v>
      </c>
      <c r="C861" s="21"/>
      <c r="N861" t="str">
        <f>IF($B$1="","",IF(ISNUMBER(SEARCH($B$1,$A861&amp;" "&amp;$B861)),MAX($N$3:N860)+1,""))</f>
        <v/>
      </c>
    </row>
    <row r="862" spans="1:14" x14ac:dyDescent="0.25">
      <c r="A862" s="21" t="s">
        <v>1882</v>
      </c>
      <c r="B862" s="22" t="s">
        <v>1883</v>
      </c>
      <c r="C862" s="21"/>
      <c r="N862" t="str">
        <f>IF($B$1="","",IF(ISNUMBER(SEARCH($B$1,$A862&amp;" "&amp;$B862)),MAX($N$3:N861)+1,""))</f>
        <v/>
      </c>
    </row>
    <row r="863" spans="1:14" x14ac:dyDescent="0.25">
      <c r="A863" s="21" t="s">
        <v>1884</v>
      </c>
      <c r="B863" s="22" t="s">
        <v>1885</v>
      </c>
      <c r="C863" s="21"/>
      <c r="N863" t="str">
        <f>IF($B$1="","",IF(ISNUMBER(SEARCH($B$1,$A863&amp;" "&amp;$B863)),MAX($N$3:N862)+1,""))</f>
        <v/>
      </c>
    </row>
    <row r="864" spans="1:14" x14ac:dyDescent="0.25">
      <c r="A864" s="21" t="s">
        <v>1886</v>
      </c>
      <c r="B864" s="22" t="s">
        <v>1887</v>
      </c>
      <c r="C864" s="21"/>
      <c r="N864" t="str">
        <f>IF($B$1="","",IF(ISNUMBER(SEARCH($B$1,$A864&amp;" "&amp;$B864)),MAX($N$3:N863)+1,""))</f>
        <v/>
      </c>
    </row>
    <row r="865" spans="1:14" x14ac:dyDescent="0.25">
      <c r="A865" s="21" t="s">
        <v>1888</v>
      </c>
      <c r="B865" s="22" t="s">
        <v>1889</v>
      </c>
      <c r="C865" s="21"/>
      <c r="N865" t="str">
        <f>IF($B$1="","",IF(ISNUMBER(SEARCH($B$1,$A865&amp;" "&amp;$B865)),MAX($N$3:N864)+1,""))</f>
        <v/>
      </c>
    </row>
    <row r="866" spans="1:14" x14ac:dyDescent="0.25">
      <c r="A866" s="21" t="s">
        <v>1890</v>
      </c>
      <c r="B866" s="22" t="s">
        <v>1891</v>
      </c>
      <c r="C866" s="21"/>
      <c r="N866" t="str">
        <f>IF($B$1="","",IF(ISNUMBER(SEARCH($B$1,$A866&amp;" "&amp;$B866)),MAX($N$3:N865)+1,""))</f>
        <v/>
      </c>
    </row>
    <row r="867" spans="1:14" x14ac:dyDescent="0.25">
      <c r="A867" s="21" t="s">
        <v>1892</v>
      </c>
      <c r="B867" s="22" t="s">
        <v>1893</v>
      </c>
      <c r="C867" s="21"/>
      <c r="N867" t="str">
        <f>IF($B$1="","",IF(ISNUMBER(SEARCH($B$1,$A867&amp;" "&amp;$B867)),MAX($N$3:N866)+1,""))</f>
        <v/>
      </c>
    </row>
    <row r="868" spans="1:14" x14ac:dyDescent="0.25">
      <c r="A868" s="21" t="s">
        <v>1894</v>
      </c>
      <c r="B868" s="22" t="s">
        <v>1895</v>
      </c>
      <c r="C868" s="21"/>
      <c r="N868" t="str">
        <f>IF($B$1="","",IF(ISNUMBER(SEARCH($B$1,$A868&amp;" "&amp;$B868)),MAX($N$3:N867)+1,""))</f>
        <v/>
      </c>
    </row>
    <row r="869" spans="1:14" x14ac:dyDescent="0.25">
      <c r="A869" s="21" t="s">
        <v>1896</v>
      </c>
      <c r="B869" s="22" t="s">
        <v>1897</v>
      </c>
      <c r="C869" s="21"/>
      <c r="N869" t="str">
        <f>IF($B$1="","",IF(ISNUMBER(SEARCH($B$1,$A869&amp;" "&amp;$B869)),MAX($N$3:N868)+1,""))</f>
        <v/>
      </c>
    </row>
    <row r="870" spans="1:14" x14ac:dyDescent="0.25">
      <c r="A870" s="21" t="s">
        <v>1898</v>
      </c>
      <c r="B870" s="22" t="s">
        <v>1899</v>
      </c>
      <c r="C870" s="21"/>
      <c r="N870" t="str">
        <f>IF($B$1="","",IF(ISNUMBER(SEARCH($B$1,$A870&amp;" "&amp;$B870)),MAX($N$3:N869)+1,""))</f>
        <v/>
      </c>
    </row>
    <row r="871" spans="1:14" x14ac:dyDescent="0.25">
      <c r="A871" s="21" t="s">
        <v>1900</v>
      </c>
      <c r="B871" s="22" t="s">
        <v>1901</v>
      </c>
      <c r="C871" s="21"/>
      <c r="N871" t="str">
        <f>IF($B$1="","",IF(ISNUMBER(SEARCH($B$1,$A871&amp;" "&amp;$B871)),MAX($N$3:N870)+1,""))</f>
        <v/>
      </c>
    </row>
    <row r="872" spans="1:14" x14ac:dyDescent="0.25">
      <c r="A872" s="21" t="s">
        <v>1902</v>
      </c>
      <c r="B872" s="22" t="s">
        <v>1903</v>
      </c>
      <c r="C872" s="21"/>
      <c r="N872" t="str">
        <f>IF($B$1="","",IF(ISNUMBER(SEARCH($B$1,$A872&amp;" "&amp;$B872)),MAX($N$3:N871)+1,""))</f>
        <v/>
      </c>
    </row>
    <row r="873" spans="1:14" x14ac:dyDescent="0.25">
      <c r="A873" s="21" t="s">
        <v>1904</v>
      </c>
      <c r="B873" s="22" t="s">
        <v>1905</v>
      </c>
      <c r="C873" s="21"/>
      <c r="N873" t="str">
        <f>IF($B$1="","",IF(ISNUMBER(SEARCH($B$1,$A873&amp;" "&amp;$B873)),MAX($N$3:N872)+1,""))</f>
        <v/>
      </c>
    </row>
    <row r="874" spans="1:14" x14ac:dyDescent="0.25">
      <c r="A874" s="21" t="s">
        <v>1906</v>
      </c>
      <c r="B874" s="22" t="s">
        <v>1907</v>
      </c>
      <c r="C874" s="21"/>
      <c r="N874" t="str">
        <f>IF($B$1="","",IF(ISNUMBER(SEARCH($B$1,$A874&amp;" "&amp;$B874)),MAX($N$3:N873)+1,""))</f>
        <v/>
      </c>
    </row>
    <row r="875" spans="1:14" x14ac:dyDescent="0.25">
      <c r="A875" s="21" t="s">
        <v>1908</v>
      </c>
      <c r="B875" s="22" t="s">
        <v>1909</v>
      </c>
      <c r="C875" s="21"/>
      <c r="N875" t="str">
        <f>IF($B$1="","",IF(ISNUMBER(SEARCH($B$1,$A875&amp;" "&amp;$B875)),MAX($N$3:N874)+1,""))</f>
        <v/>
      </c>
    </row>
    <row r="876" spans="1:14" x14ac:dyDescent="0.25">
      <c r="A876" s="21" t="s">
        <v>1910</v>
      </c>
      <c r="B876" s="22" t="s">
        <v>1911</v>
      </c>
      <c r="C876" s="21"/>
      <c r="N876" t="str">
        <f>IF($B$1="","",IF(ISNUMBER(SEARCH($B$1,$A876&amp;" "&amp;$B876)),MAX($N$3:N875)+1,""))</f>
        <v/>
      </c>
    </row>
    <row r="877" spans="1:14" x14ac:dyDescent="0.25">
      <c r="A877" s="21" t="s">
        <v>1912</v>
      </c>
      <c r="B877" s="22" t="s">
        <v>1913</v>
      </c>
      <c r="C877" s="21"/>
      <c r="N877" t="str">
        <f>IF($B$1="","",IF(ISNUMBER(SEARCH($B$1,$A877&amp;" "&amp;$B877)),MAX($N$3:N876)+1,""))</f>
        <v/>
      </c>
    </row>
    <row r="878" spans="1:14" x14ac:dyDescent="0.25">
      <c r="A878" s="21" t="s">
        <v>1914</v>
      </c>
      <c r="B878" s="22" t="s">
        <v>1915</v>
      </c>
      <c r="C878" s="21"/>
      <c r="N878" t="str">
        <f>IF($B$1="","",IF(ISNUMBER(SEARCH($B$1,$A878&amp;" "&amp;$B878)),MAX($N$3:N877)+1,""))</f>
        <v/>
      </c>
    </row>
    <row r="879" spans="1:14" x14ac:dyDescent="0.25">
      <c r="A879" s="21" t="s">
        <v>1916</v>
      </c>
      <c r="B879" s="22" t="s">
        <v>1917</v>
      </c>
      <c r="C879" s="21"/>
      <c r="N879" t="str">
        <f>IF($B$1="","",IF(ISNUMBER(SEARCH($B$1,$A879&amp;" "&amp;$B879)),MAX($N$3:N878)+1,""))</f>
        <v/>
      </c>
    </row>
    <row r="880" spans="1:14" x14ac:dyDescent="0.25">
      <c r="A880" s="21" t="s">
        <v>1918</v>
      </c>
      <c r="B880" s="22" t="s">
        <v>1919</v>
      </c>
      <c r="C880" s="21"/>
      <c r="N880" t="str">
        <f>IF($B$1="","",IF(ISNUMBER(SEARCH($B$1,$A880&amp;" "&amp;$B880)),MAX($N$3:N879)+1,""))</f>
        <v/>
      </c>
    </row>
    <row r="881" spans="1:14" x14ac:dyDescent="0.25">
      <c r="A881" s="21" t="s">
        <v>1920</v>
      </c>
      <c r="B881" s="22" t="s">
        <v>1921</v>
      </c>
      <c r="C881" s="21"/>
      <c r="N881" t="str">
        <f>IF($B$1="","",IF(ISNUMBER(SEARCH($B$1,$A881&amp;" "&amp;$B881)),MAX($N$3:N880)+1,""))</f>
        <v/>
      </c>
    </row>
    <row r="882" spans="1:14" x14ac:dyDescent="0.25">
      <c r="A882" s="21" t="s">
        <v>1922</v>
      </c>
      <c r="B882" s="22" t="s">
        <v>1923</v>
      </c>
      <c r="C882" s="21"/>
      <c r="N882" t="str">
        <f>IF($B$1="","",IF(ISNUMBER(SEARCH($B$1,$A882&amp;" "&amp;$B882)),MAX($N$3:N881)+1,""))</f>
        <v/>
      </c>
    </row>
    <row r="883" spans="1:14" x14ac:dyDescent="0.25">
      <c r="A883" s="21" t="s">
        <v>1924</v>
      </c>
      <c r="B883" s="22" t="s">
        <v>1925</v>
      </c>
      <c r="C883" s="21"/>
      <c r="N883" t="str">
        <f>IF($B$1="","",IF(ISNUMBER(SEARCH($B$1,$A883&amp;" "&amp;$B883)),MAX($N$3:N882)+1,""))</f>
        <v/>
      </c>
    </row>
    <row r="884" spans="1:14" x14ac:dyDescent="0.25">
      <c r="A884" s="21" t="s">
        <v>1926</v>
      </c>
      <c r="B884" s="22" t="s">
        <v>1927</v>
      </c>
      <c r="C884" s="21"/>
      <c r="N884" t="str">
        <f>IF($B$1="","",IF(ISNUMBER(SEARCH($B$1,$A884&amp;" "&amp;$B884)),MAX($N$3:N883)+1,""))</f>
        <v/>
      </c>
    </row>
    <row r="885" spans="1:14" x14ac:dyDescent="0.25">
      <c r="A885" s="21" t="s">
        <v>1928</v>
      </c>
      <c r="B885" s="22" t="s">
        <v>1929</v>
      </c>
      <c r="C885" s="21"/>
      <c r="N885" t="str">
        <f>IF($B$1="","",IF(ISNUMBER(SEARCH($B$1,$A885&amp;" "&amp;$B885)),MAX($N$3:N884)+1,""))</f>
        <v/>
      </c>
    </row>
    <row r="886" spans="1:14" x14ac:dyDescent="0.25">
      <c r="A886" s="21" t="s">
        <v>1930</v>
      </c>
      <c r="B886" s="22" t="s">
        <v>1931</v>
      </c>
      <c r="C886" s="21"/>
      <c r="N886" t="str">
        <f>IF($B$1="","",IF(ISNUMBER(SEARCH($B$1,$A886&amp;" "&amp;$B886)),MAX($N$3:N885)+1,""))</f>
        <v/>
      </c>
    </row>
    <row r="887" spans="1:14" x14ac:dyDescent="0.25">
      <c r="A887" s="21" t="s">
        <v>1932</v>
      </c>
      <c r="B887" s="22" t="s">
        <v>1933</v>
      </c>
      <c r="C887" s="21"/>
      <c r="N887" t="str">
        <f>IF($B$1="","",IF(ISNUMBER(SEARCH($B$1,$A887&amp;" "&amp;$B887)),MAX($N$3:N886)+1,""))</f>
        <v/>
      </c>
    </row>
    <row r="888" spans="1:14" x14ac:dyDescent="0.25">
      <c r="A888" s="21" t="s">
        <v>1934</v>
      </c>
      <c r="B888" s="22" t="s">
        <v>1935</v>
      </c>
      <c r="C888" s="21"/>
      <c r="N888" t="str">
        <f>IF($B$1="","",IF(ISNUMBER(SEARCH($B$1,$A888&amp;" "&amp;$B888)),MAX($N$3:N887)+1,""))</f>
        <v/>
      </c>
    </row>
    <row r="889" spans="1:14" x14ac:dyDescent="0.25">
      <c r="A889" s="21" t="s">
        <v>1936</v>
      </c>
      <c r="B889" s="22" t="s">
        <v>1937</v>
      </c>
      <c r="C889" s="21"/>
      <c r="N889" t="str">
        <f>IF($B$1="","",IF(ISNUMBER(SEARCH($B$1,$A889&amp;" "&amp;$B889)),MAX($N$3:N888)+1,""))</f>
        <v/>
      </c>
    </row>
    <row r="890" spans="1:14" x14ac:dyDescent="0.25">
      <c r="A890" s="21" t="s">
        <v>1938</v>
      </c>
      <c r="B890" s="22" t="s">
        <v>1939</v>
      </c>
      <c r="C890" s="21"/>
      <c r="N890" t="str">
        <f>IF($B$1="","",IF(ISNUMBER(SEARCH($B$1,$A890&amp;" "&amp;$B890)),MAX($N$3:N889)+1,""))</f>
        <v/>
      </c>
    </row>
    <row r="891" spans="1:14" x14ac:dyDescent="0.25">
      <c r="A891" s="21" t="s">
        <v>1940</v>
      </c>
      <c r="B891" s="22" t="s">
        <v>1941</v>
      </c>
      <c r="C891" s="21"/>
      <c r="N891" t="str">
        <f>IF($B$1="","",IF(ISNUMBER(SEARCH($B$1,$A891&amp;" "&amp;$B891)),MAX($N$3:N890)+1,""))</f>
        <v/>
      </c>
    </row>
    <row r="892" spans="1:14" x14ac:dyDescent="0.25">
      <c r="A892" s="21" t="s">
        <v>1942</v>
      </c>
      <c r="B892" s="22" t="s">
        <v>1943</v>
      </c>
      <c r="C892" s="21"/>
      <c r="N892" t="str">
        <f>IF($B$1="","",IF(ISNUMBER(SEARCH($B$1,$A892&amp;" "&amp;$B892)),MAX($N$3:N891)+1,""))</f>
        <v/>
      </c>
    </row>
    <row r="893" spans="1:14" x14ac:dyDescent="0.25">
      <c r="A893" s="21" t="s">
        <v>1944</v>
      </c>
      <c r="B893" s="22" t="s">
        <v>1945</v>
      </c>
      <c r="C893" s="21"/>
      <c r="N893" t="str">
        <f>IF($B$1="","",IF(ISNUMBER(SEARCH($B$1,$A893&amp;" "&amp;$B893)),MAX($N$3:N892)+1,""))</f>
        <v/>
      </c>
    </row>
    <row r="894" spans="1:14" x14ac:dyDescent="0.25">
      <c r="A894" s="21" t="s">
        <v>1946</v>
      </c>
      <c r="B894" s="22" t="s">
        <v>1947</v>
      </c>
      <c r="C894" s="21"/>
      <c r="N894" t="str">
        <f>IF($B$1="","",IF(ISNUMBER(SEARCH($B$1,$A894&amp;" "&amp;$B894)),MAX($N$3:N893)+1,""))</f>
        <v/>
      </c>
    </row>
    <row r="895" spans="1:14" x14ac:dyDescent="0.25">
      <c r="A895" s="21" t="s">
        <v>1948</v>
      </c>
      <c r="B895" s="22" t="s">
        <v>1949</v>
      </c>
      <c r="C895" s="21"/>
      <c r="N895" t="str">
        <f>IF($B$1="","",IF(ISNUMBER(SEARCH($B$1,$A895&amp;" "&amp;$B895)),MAX($N$3:N894)+1,""))</f>
        <v/>
      </c>
    </row>
    <row r="896" spans="1:14" x14ac:dyDescent="0.25">
      <c r="A896" s="21" t="s">
        <v>1950</v>
      </c>
      <c r="B896" s="22" t="s">
        <v>1951</v>
      </c>
      <c r="C896" s="21"/>
      <c r="N896" t="str">
        <f>IF($B$1="","",IF(ISNUMBER(SEARCH($B$1,$A896&amp;" "&amp;$B896)),MAX($N$3:N895)+1,""))</f>
        <v/>
      </c>
    </row>
    <row r="897" spans="1:14" x14ac:dyDescent="0.25">
      <c r="A897" s="21" t="s">
        <v>1952</v>
      </c>
      <c r="B897" s="22" t="s">
        <v>1953</v>
      </c>
      <c r="C897" s="21"/>
      <c r="N897" t="str">
        <f>IF($B$1="","",IF(ISNUMBER(SEARCH($B$1,$A897&amp;" "&amp;$B897)),MAX($N$3:N896)+1,""))</f>
        <v/>
      </c>
    </row>
    <row r="898" spans="1:14" x14ac:dyDescent="0.25">
      <c r="A898" s="21" t="s">
        <v>1954</v>
      </c>
      <c r="B898" s="22" t="s">
        <v>1955</v>
      </c>
      <c r="C898" s="21"/>
      <c r="N898" t="str">
        <f>IF($B$1="","",IF(ISNUMBER(SEARCH($B$1,$A898&amp;" "&amp;$B898)),MAX($N$3:N897)+1,""))</f>
        <v/>
      </c>
    </row>
    <row r="899" spans="1:14" x14ac:dyDescent="0.25">
      <c r="A899" s="21" t="s">
        <v>1956</v>
      </c>
      <c r="B899" s="22" t="s">
        <v>1957</v>
      </c>
      <c r="C899" s="21"/>
      <c r="N899" t="str">
        <f>IF($B$1="","",IF(ISNUMBER(SEARCH($B$1,$A899&amp;" "&amp;$B899)),MAX($N$3:N898)+1,""))</f>
        <v/>
      </c>
    </row>
    <row r="900" spans="1:14" x14ac:dyDescent="0.25">
      <c r="A900" s="21" t="s">
        <v>1958</v>
      </c>
      <c r="B900" s="22" t="s">
        <v>1959</v>
      </c>
      <c r="C900" s="21"/>
      <c r="N900" t="str">
        <f>IF($B$1="","",IF(ISNUMBER(SEARCH($B$1,$A900&amp;" "&amp;$B900)),MAX($N$3:N899)+1,""))</f>
        <v/>
      </c>
    </row>
    <row r="901" spans="1:14" x14ac:dyDescent="0.25">
      <c r="A901" s="21" t="s">
        <v>1960</v>
      </c>
      <c r="B901" s="22" t="s">
        <v>33</v>
      </c>
      <c r="C901" s="21"/>
      <c r="N901" t="str">
        <f>IF($B$1="","",IF(ISNUMBER(SEARCH($B$1,$A901&amp;" "&amp;$B901)),MAX($N$3:N900)+1,""))</f>
        <v/>
      </c>
    </row>
    <row r="902" spans="1:14" x14ac:dyDescent="0.25">
      <c r="A902" s="21" t="s">
        <v>1961</v>
      </c>
      <c r="B902" s="22" t="s">
        <v>1962</v>
      </c>
      <c r="C902" s="21"/>
      <c r="N902" t="str">
        <f>IF($B$1="","",IF(ISNUMBER(SEARCH($B$1,$A902&amp;" "&amp;$B902)),MAX($N$3:N901)+1,""))</f>
        <v/>
      </c>
    </row>
    <row r="903" spans="1:14" x14ac:dyDescent="0.25">
      <c r="A903" s="21" t="s">
        <v>1963</v>
      </c>
      <c r="B903" s="22" t="s">
        <v>1964</v>
      </c>
      <c r="C903" s="21"/>
      <c r="N903" t="str">
        <f>IF($B$1="","",IF(ISNUMBER(SEARCH($B$1,$A903&amp;" "&amp;$B903)),MAX($N$3:N902)+1,""))</f>
        <v/>
      </c>
    </row>
    <row r="904" spans="1:14" x14ac:dyDescent="0.25">
      <c r="A904" s="21" t="s">
        <v>1965</v>
      </c>
      <c r="B904" s="22" t="s">
        <v>1966</v>
      </c>
      <c r="C904" s="21"/>
      <c r="N904" t="str">
        <f>IF($B$1="","",IF(ISNUMBER(SEARCH($B$1,$A904&amp;" "&amp;$B904)),MAX($N$3:N903)+1,""))</f>
        <v/>
      </c>
    </row>
    <row r="905" spans="1:14" x14ac:dyDescent="0.25">
      <c r="A905" s="21" t="s">
        <v>1967</v>
      </c>
      <c r="B905" s="22" t="s">
        <v>1968</v>
      </c>
      <c r="C905" s="21"/>
      <c r="N905" t="str">
        <f>IF($B$1="","",IF(ISNUMBER(SEARCH($B$1,$A905&amp;" "&amp;$B905)),MAX($N$3:N904)+1,""))</f>
        <v/>
      </c>
    </row>
    <row r="906" spans="1:14" x14ac:dyDescent="0.25">
      <c r="A906" s="21" t="s">
        <v>1969</v>
      </c>
      <c r="B906" s="22" t="s">
        <v>1970</v>
      </c>
      <c r="C906" s="21"/>
      <c r="N906" t="str">
        <f>IF($B$1="","",IF(ISNUMBER(SEARCH($B$1,$A906&amp;" "&amp;$B906)),MAX($N$3:N905)+1,""))</f>
        <v/>
      </c>
    </row>
    <row r="907" spans="1:14" x14ac:dyDescent="0.25">
      <c r="A907" s="21" t="s">
        <v>1971</v>
      </c>
      <c r="B907" s="22" t="s">
        <v>1972</v>
      </c>
      <c r="C907" s="21"/>
      <c r="N907" t="str">
        <f>IF($B$1="","",IF(ISNUMBER(SEARCH($B$1,$A907&amp;" "&amp;$B907)),MAX($N$3:N906)+1,""))</f>
        <v/>
      </c>
    </row>
    <row r="908" spans="1:14" x14ac:dyDescent="0.25">
      <c r="A908" s="21" t="s">
        <v>1973</v>
      </c>
      <c r="B908" s="22" t="s">
        <v>1974</v>
      </c>
      <c r="C908" s="21"/>
      <c r="N908" t="str">
        <f>IF($B$1="","",IF(ISNUMBER(SEARCH($B$1,$A908&amp;" "&amp;$B908)),MAX($N$3:N907)+1,""))</f>
        <v/>
      </c>
    </row>
    <row r="909" spans="1:14" x14ac:dyDescent="0.25">
      <c r="A909" s="21" t="s">
        <v>1975</v>
      </c>
      <c r="B909" s="22" t="s">
        <v>1976</v>
      </c>
      <c r="C909" s="21"/>
      <c r="N909" t="str">
        <f>IF($B$1="","",IF(ISNUMBER(SEARCH($B$1,$A909&amp;" "&amp;$B909)),MAX($N$3:N908)+1,""))</f>
        <v/>
      </c>
    </row>
    <row r="910" spans="1:14" x14ac:dyDescent="0.25">
      <c r="A910" s="21" t="s">
        <v>1977</v>
      </c>
      <c r="B910" s="22" t="s">
        <v>1978</v>
      </c>
      <c r="C910" s="21"/>
      <c r="N910" t="str">
        <f>IF($B$1="","",IF(ISNUMBER(SEARCH($B$1,$A910&amp;" "&amp;$B910)),MAX($N$3:N909)+1,""))</f>
        <v/>
      </c>
    </row>
    <row r="911" spans="1:14" x14ac:dyDescent="0.25">
      <c r="A911" s="21" t="s">
        <v>1979</v>
      </c>
      <c r="B911" s="22" t="s">
        <v>1980</v>
      </c>
      <c r="C911" s="21"/>
      <c r="N911" t="str">
        <f>IF($B$1="","",IF(ISNUMBER(SEARCH($B$1,$A911&amp;" "&amp;$B911)),MAX($N$3:N910)+1,""))</f>
        <v/>
      </c>
    </row>
    <row r="912" spans="1:14" x14ac:dyDescent="0.25">
      <c r="A912" s="21" t="s">
        <v>1981</v>
      </c>
      <c r="B912" s="22" t="s">
        <v>1982</v>
      </c>
      <c r="C912" s="21" t="s">
        <v>455</v>
      </c>
      <c r="N912" t="str">
        <f>IF($B$1="","",IF(ISNUMBER(SEARCH($B$1,$A912&amp;" "&amp;$B912)),MAX($N$3:N911)+1,""))</f>
        <v/>
      </c>
    </row>
    <row r="913" spans="1:14" x14ac:dyDescent="0.25">
      <c r="A913" s="21" t="s">
        <v>1983</v>
      </c>
      <c r="B913" s="22" t="s">
        <v>1984</v>
      </c>
      <c r="C913" s="21"/>
      <c r="N913" t="str">
        <f>IF($B$1="","",IF(ISNUMBER(SEARCH($B$1,$A913&amp;" "&amp;$B913)),MAX($N$3:N912)+1,""))</f>
        <v/>
      </c>
    </row>
    <row r="914" spans="1:14" x14ac:dyDescent="0.25">
      <c r="A914" s="21" t="s">
        <v>1985</v>
      </c>
      <c r="B914" s="22" t="s">
        <v>1986</v>
      </c>
      <c r="C914" s="21"/>
      <c r="N914" t="str">
        <f>IF($B$1="","",IF(ISNUMBER(SEARCH($B$1,$A914&amp;" "&amp;$B914)),MAX($N$3:N913)+1,""))</f>
        <v/>
      </c>
    </row>
    <row r="915" spans="1:14" x14ac:dyDescent="0.25">
      <c r="A915" s="21" t="s">
        <v>1987</v>
      </c>
      <c r="B915" s="22" t="s">
        <v>1988</v>
      </c>
      <c r="C915" s="21"/>
      <c r="N915" t="str">
        <f>IF($B$1="","",IF(ISNUMBER(SEARCH($B$1,$A915&amp;" "&amp;$B915)),MAX($N$3:N914)+1,""))</f>
        <v/>
      </c>
    </row>
    <row r="916" spans="1:14" x14ac:dyDescent="0.25">
      <c r="A916" s="21" t="s">
        <v>1989</v>
      </c>
      <c r="B916" s="22" t="s">
        <v>1990</v>
      </c>
      <c r="C916" s="21"/>
      <c r="N916" t="str">
        <f>IF($B$1="","",IF(ISNUMBER(SEARCH($B$1,$A916&amp;" "&amp;$B916)),MAX($N$3:N915)+1,""))</f>
        <v/>
      </c>
    </row>
    <row r="917" spans="1:14" x14ac:dyDescent="0.25">
      <c r="A917" s="21" t="s">
        <v>1991</v>
      </c>
      <c r="B917" s="22" t="s">
        <v>1992</v>
      </c>
      <c r="C917" s="21"/>
      <c r="N917" t="str">
        <f>IF($B$1="","",IF(ISNUMBER(SEARCH($B$1,$A917&amp;" "&amp;$B917)),MAX($N$3:N916)+1,""))</f>
        <v/>
      </c>
    </row>
    <row r="918" spans="1:14" x14ac:dyDescent="0.25">
      <c r="A918" s="21" t="s">
        <v>1993</v>
      </c>
      <c r="B918" s="22" t="s">
        <v>1994</v>
      </c>
      <c r="C918" s="21"/>
      <c r="N918" t="str">
        <f>IF($B$1="","",IF(ISNUMBER(SEARCH($B$1,$A918&amp;" "&amp;$B918)),MAX($N$3:N917)+1,""))</f>
        <v/>
      </c>
    </row>
    <row r="919" spans="1:14" x14ac:dyDescent="0.25">
      <c r="A919" s="21" t="s">
        <v>1995</v>
      </c>
      <c r="B919" s="22" t="s">
        <v>1996</v>
      </c>
      <c r="C919" s="21"/>
      <c r="N919" t="str">
        <f>IF($B$1="","",IF(ISNUMBER(SEARCH($B$1,$A919&amp;" "&amp;$B919)),MAX($N$3:N918)+1,""))</f>
        <v/>
      </c>
    </row>
    <row r="920" spans="1:14" x14ac:dyDescent="0.25">
      <c r="A920" s="21" t="s">
        <v>1997</v>
      </c>
      <c r="B920" s="22" t="s">
        <v>1998</v>
      </c>
      <c r="C920" s="21"/>
      <c r="N920" t="str">
        <f>IF($B$1="","",IF(ISNUMBER(SEARCH($B$1,$A920&amp;" "&amp;$B920)),MAX($N$3:N919)+1,""))</f>
        <v/>
      </c>
    </row>
    <row r="921" spans="1:14" x14ac:dyDescent="0.25">
      <c r="A921" s="21" t="s">
        <v>1999</v>
      </c>
      <c r="B921" s="22" t="s">
        <v>2000</v>
      </c>
      <c r="C921" s="21"/>
      <c r="N921" t="str">
        <f>IF($B$1="","",IF(ISNUMBER(SEARCH($B$1,$A921&amp;" "&amp;$B921)),MAX($N$3:N920)+1,""))</f>
        <v/>
      </c>
    </row>
    <row r="922" spans="1:14" x14ac:dyDescent="0.25">
      <c r="A922" s="21" t="s">
        <v>2001</v>
      </c>
      <c r="B922" s="22" t="s">
        <v>2002</v>
      </c>
      <c r="C922" s="21"/>
      <c r="N922" t="str">
        <f>IF($B$1="","",IF(ISNUMBER(SEARCH($B$1,$A922&amp;" "&amp;$B922)),MAX($N$3:N921)+1,""))</f>
        <v/>
      </c>
    </row>
    <row r="923" spans="1:14" x14ac:dyDescent="0.25">
      <c r="A923" s="21" t="s">
        <v>2003</v>
      </c>
      <c r="B923" s="22" t="s">
        <v>2004</v>
      </c>
      <c r="C923" s="21"/>
      <c r="N923" t="str">
        <f>IF($B$1="","",IF(ISNUMBER(SEARCH($B$1,$A923&amp;" "&amp;$B923)),MAX($N$3:N922)+1,""))</f>
        <v/>
      </c>
    </row>
    <row r="924" spans="1:14" x14ac:dyDescent="0.25">
      <c r="A924" s="21" t="s">
        <v>2005</v>
      </c>
      <c r="B924" s="22" t="s">
        <v>2006</v>
      </c>
      <c r="C924" s="21"/>
      <c r="N924" t="str">
        <f>IF($B$1="","",IF(ISNUMBER(SEARCH($B$1,$A924&amp;" "&amp;$B924)),MAX($N$3:N923)+1,""))</f>
        <v/>
      </c>
    </row>
    <row r="925" spans="1:14" x14ac:dyDescent="0.25">
      <c r="A925" s="21" t="s">
        <v>2007</v>
      </c>
      <c r="B925" s="22" t="s">
        <v>2008</v>
      </c>
      <c r="C925" s="21"/>
      <c r="N925" t="str">
        <f>IF($B$1="","",IF(ISNUMBER(SEARCH($B$1,$A925&amp;" "&amp;$B925)),MAX($N$3:N924)+1,""))</f>
        <v/>
      </c>
    </row>
    <row r="926" spans="1:14" x14ac:dyDescent="0.25">
      <c r="A926" s="21" t="s">
        <v>2009</v>
      </c>
      <c r="B926" s="22" t="s">
        <v>2010</v>
      </c>
      <c r="C926" s="21"/>
      <c r="N926" t="str">
        <f>IF($B$1="","",IF(ISNUMBER(SEARCH($B$1,$A926&amp;" "&amp;$B926)),MAX($N$3:N925)+1,""))</f>
        <v/>
      </c>
    </row>
    <row r="927" spans="1:14" x14ac:dyDescent="0.25">
      <c r="A927" s="21" t="s">
        <v>2011</v>
      </c>
      <c r="B927" s="22" t="s">
        <v>2012</v>
      </c>
      <c r="C927" s="21"/>
      <c r="N927" t="str">
        <f>IF($B$1="","",IF(ISNUMBER(SEARCH($B$1,$A927&amp;" "&amp;$B927)),MAX($N$3:N926)+1,""))</f>
        <v/>
      </c>
    </row>
    <row r="928" spans="1:14" x14ac:dyDescent="0.25">
      <c r="A928" s="21" t="s">
        <v>2013</v>
      </c>
      <c r="B928" s="22" t="s">
        <v>2014</v>
      </c>
      <c r="C928" s="21"/>
      <c r="N928" t="str">
        <f>IF($B$1="","",IF(ISNUMBER(SEARCH($B$1,$A928&amp;" "&amp;$B928)),MAX($N$3:N927)+1,""))</f>
        <v/>
      </c>
    </row>
    <row r="929" spans="1:14" x14ac:dyDescent="0.25">
      <c r="A929" s="21" t="s">
        <v>2015</v>
      </c>
      <c r="B929" s="22" t="s">
        <v>2016</v>
      </c>
      <c r="C929" s="21"/>
      <c r="N929" t="str">
        <f>IF($B$1="","",IF(ISNUMBER(SEARCH($B$1,$A929&amp;" "&amp;$B929)),MAX($N$3:N928)+1,""))</f>
        <v/>
      </c>
    </row>
    <row r="930" spans="1:14" x14ac:dyDescent="0.25">
      <c r="A930" s="21" t="s">
        <v>2017</v>
      </c>
      <c r="B930" s="22" t="s">
        <v>2018</v>
      </c>
      <c r="C930" s="21"/>
      <c r="N930" t="str">
        <f>IF($B$1="","",IF(ISNUMBER(SEARCH($B$1,$A930&amp;" "&amp;$B930)),MAX($N$3:N929)+1,""))</f>
        <v/>
      </c>
    </row>
    <row r="931" spans="1:14" x14ac:dyDescent="0.25">
      <c r="A931" s="21" t="s">
        <v>2019</v>
      </c>
      <c r="B931" s="22" t="s">
        <v>2020</v>
      </c>
      <c r="C931" s="21"/>
      <c r="N931" t="str">
        <f>IF($B$1="","",IF(ISNUMBER(SEARCH($B$1,$A931&amp;" "&amp;$B931)),MAX($N$3:N930)+1,""))</f>
        <v/>
      </c>
    </row>
    <row r="932" spans="1:14" x14ac:dyDescent="0.25">
      <c r="A932" s="21" t="s">
        <v>2021</v>
      </c>
      <c r="B932" s="22" t="s">
        <v>2022</v>
      </c>
      <c r="C932" s="21"/>
      <c r="N932" t="str">
        <f>IF($B$1="","",IF(ISNUMBER(SEARCH($B$1,$A932&amp;" "&amp;$B932)),MAX($N$3:N931)+1,""))</f>
        <v/>
      </c>
    </row>
    <row r="933" spans="1:14" x14ac:dyDescent="0.25">
      <c r="A933" s="21" t="s">
        <v>2023</v>
      </c>
      <c r="B933" s="22" t="s">
        <v>2024</v>
      </c>
      <c r="C933" s="21"/>
      <c r="N933" t="str">
        <f>IF($B$1="","",IF(ISNUMBER(SEARCH($B$1,$A933&amp;" "&amp;$B933)),MAX($N$3:N932)+1,""))</f>
        <v/>
      </c>
    </row>
    <row r="934" spans="1:14" x14ac:dyDescent="0.25">
      <c r="A934" s="21" t="s">
        <v>2025</v>
      </c>
      <c r="B934" s="22" t="s">
        <v>2026</v>
      </c>
      <c r="C934" s="21"/>
      <c r="N934" t="str">
        <f>IF($B$1="","",IF(ISNUMBER(SEARCH($B$1,$A934&amp;" "&amp;$B934)),MAX($N$3:N933)+1,""))</f>
        <v/>
      </c>
    </row>
    <row r="935" spans="1:14" x14ac:dyDescent="0.25">
      <c r="A935" s="21" t="s">
        <v>2027</v>
      </c>
      <c r="B935" s="22" t="s">
        <v>2028</v>
      </c>
      <c r="C935" s="21"/>
      <c r="N935" t="str">
        <f>IF($B$1="","",IF(ISNUMBER(SEARCH($B$1,$A935&amp;" "&amp;$B935)),MAX($N$3:N934)+1,""))</f>
        <v/>
      </c>
    </row>
    <row r="936" spans="1:14" x14ac:dyDescent="0.25">
      <c r="A936" s="21" t="s">
        <v>2029</v>
      </c>
      <c r="B936" s="22" t="s">
        <v>2030</v>
      </c>
      <c r="C936" s="21"/>
      <c r="N936" t="str">
        <f>IF($B$1="","",IF(ISNUMBER(SEARCH($B$1,$A936&amp;" "&amp;$B936)),MAX($N$3:N935)+1,""))</f>
        <v/>
      </c>
    </row>
    <row r="937" spans="1:14" x14ac:dyDescent="0.25">
      <c r="A937" s="21" t="s">
        <v>2031</v>
      </c>
      <c r="B937" s="22" t="s">
        <v>2032</v>
      </c>
      <c r="C937" s="21"/>
      <c r="N937" t="str">
        <f>IF($B$1="","",IF(ISNUMBER(SEARCH($B$1,$A937&amp;" "&amp;$B937)),MAX($N$3:N936)+1,""))</f>
        <v/>
      </c>
    </row>
    <row r="938" spans="1:14" x14ac:dyDescent="0.25">
      <c r="A938" s="21" t="s">
        <v>2033</v>
      </c>
      <c r="B938" s="22" t="s">
        <v>2034</v>
      </c>
      <c r="C938" s="21"/>
      <c r="N938" t="str">
        <f>IF($B$1="","",IF(ISNUMBER(SEARCH($B$1,$A938&amp;" "&amp;$B938)),MAX($N$3:N937)+1,""))</f>
        <v/>
      </c>
    </row>
    <row r="939" spans="1:14" x14ac:dyDescent="0.25">
      <c r="A939" s="21" t="s">
        <v>2035</v>
      </c>
      <c r="B939" s="22" t="s">
        <v>2036</v>
      </c>
      <c r="C939" s="21"/>
      <c r="N939" t="str">
        <f>IF($B$1="","",IF(ISNUMBER(SEARCH($B$1,$A939&amp;" "&amp;$B939)),MAX($N$3:N938)+1,""))</f>
        <v/>
      </c>
    </row>
    <row r="940" spans="1:14" x14ac:dyDescent="0.25">
      <c r="A940" s="21" t="s">
        <v>2037</v>
      </c>
      <c r="B940" s="22" t="s">
        <v>2038</v>
      </c>
      <c r="C940" s="21"/>
      <c r="N940" t="str">
        <f>IF($B$1="","",IF(ISNUMBER(SEARCH($B$1,$A940&amp;" "&amp;$B940)),MAX($N$3:N939)+1,""))</f>
        <v/>
      </c>
    </row>
    <row r="941" spans="1:14" x14ac:dyDescent="0.25">
      <c r="A941" s="21" t="s">
        <v>2039</v>
      </c>
      <c r="B941" s="22" t="s">
        <v>2040</v>
      </c>
      <c r="C941" s="21"/>
      <c r="N941" t="str">
        <f>IF($B$1="","",IF(ISNUMBER(SEARCH($B$1,$A941&amp;" "&amp;$B941)),MAX($N$3:N940)+1,""))</f>
        <v/>
      </c>
    </row>
    <row r="942" spans="1:14" x14ac:dyDescent="0.25">
      <c r="A942" s="21" t="s">
        <v>2041</v>
      </c>
      <c r="B942" s="22" t="s">
        <v>2042</v>
      </c>
      <c r="C942" s="21"/>
      <c r="N942" t="str">
        <f>IF($B$1="","",IF(ISNUMBER(SEARCH($B$1,$A942&amp;" "&amp;$B942)),MAX($N$3:N941)+1,""))</f>
        <v/>
      </c>
    </row>
    <row r="943" spans="1:14" x14ac:dyDescent="0.25">
      <c r="A943" s="21" t="s">
        <v>2043</v>
      </c>
      <c r="B943" s="22" t="s">
        <v>2044</v>
      </c>
      <c r="C943" s="21"/>
      <c r="N943" t="str">
        <f>IF($B$1="","",IF(ISNUMBER(SEARCH($B$1,$A943&amp;" "&amp;$B943)),MAX($N$3:N942)+1,""))</f>
        <v/>
      </c>
    </row>
    <row r="944" spans="1:14" x14ac:dyDescent="0.25">
      <c r="A944" s="21" t="s">
        <v>2045</v>
      </c>
      <c r="B944" s="22" t="s">
        <v>2046</v>
      </c>
      <c r="C944" s="21"/>
      <c r="N944" t="str">
        <f>IF($B$1="","",IF(ISNUMBER(SEARCH($B$1,$A944&amp;" "&amp;$B944)),MAX($N$3:N943)+1,""))</f>
        <v/>
      </c>
    </row>
    <row r="945" spans="1:14" x14ac:dyDescent="0.25">
      <c r="A945" s="21" t="s">
        <v>2047</v>
      </c>
      <c r="B945" s="22" t="s">
        <v>2048</v>
      </c>
      <c r="C945" s="21"/>
      <c r="N945" t="str">
        <f>IF($B$1="","",IF(ISNUMBER(SEARCH($B$1,$A945&amp;" "&amp;$B945)),MAX($N$3:N944)+1,""))</f>
        <v/>
      </c>
    </row>
    <row r="946" spans="1:14" x14ac:dyDescent="0.25">
      <c r="A946" s="21" t="s">
        <v>2049</v>
      </c>
      <c r="B946" s="22" t="s">
        <v>2050</v>
      </c>
      <c r="C946" s="21"/>
      <c r="N946" t="str">
        <f>IF($B$1="","",IF(ISNUMBER(SEARCH($B$1,$A946&amp;" "&amp;$B946)),MAX($N$3:N945)+1,""))</f>
        <v/>
      </c>
    </row>
    <row r="947" spans="1:14" x14ac:dyDescent="0.25">
      <c r="A947" s="21" t="s">
        <v>2051</v>
      </c>
      <c r="B947" s="22" t="s">
        <v>2052</v>
      </c>
      <c r="C947" s="21"/>
      <c r="N947" t="str">
        <f>IF($B$1="","",IF(ISNUMBER(SEARCH($B$1,$A947&amp;" "&amp;$B947)),MAX($N$3:N946)+1,""))</f>
        <v/>
      </c>
    </row>
    <row r="948" spans="1:14" x14ac:dyDescent="0.25">
      <c r="A948" s="21" t="s">
        <v>2053</v>
      </c>
      <c r="B948" s="22" t="s">
        <v>2054</v>
      </c>
      <c r="C948" s="21"/>
      <c r="N948" t="str">
        <f>IF($B$1="","",IF(ISNUMBER(SEARCH($B$1,$A948&amp;" "&amp;$B948)),MAX($N$3:N947)+1,""))</f>
        <v/>
      </c>
    </row>
    <row r="949" spans="1:14" x14ac:dyDescent="0.25">
      <c r="A949" s="21" t="s">
        <v>2055</v>
      </c>
      <c r="B949" s="22" t="s">
        <v>2056</v>
      </c>
      <c r="C949" s="21"/>
      <c r="N949" t="str">
        <f>IF($B$1="","",IF(ISNUMBER(SEARCH($B$1,$A949&amp;" "&amp;$B949)),MAX($N$3:N948)+1,""))</f>
        <v/>
      </c>
    </row>
    <row r="950" spans="1:14" x14ac:dyDescent="0.25">
      <c r="A950" s="21" t="s">
        <v>2057</v>
      </c>
      <c r="B950" s="22" t="s">
        <v>2058</v>
      </c>
      <c r="C950" s="21"/>
      <c r="N950" t="str">
        <f>IF($B$1="","",IF(ISNUMBER(SEARCH($B$1,$A950&amp;" "&amp;$B950)),MAX($N$3:N949)+1,""))</f>
        <v/>
      </c>
    </row>
    <row r="951" spans="1:14" x14ac:dyDescent="0.25">
      <c r="A951" s="21" t="s">
        <v>2059</v>
      </c>
      <c r="B951" s="22" t="s">
        <v>2060</v>
      </c>
      <c r="C951" s="21"/>
      <c r="N951" t="str">
        <f>IF($B$1="","",IF(ISNUMBER(SEARCH($B$1,$A951&amp;" "&amp;$B951)),MAX($N$3:N950)+1,""))</f>
        <v/>
      </c>
    </row>
    <row r="952" spans="1:14" x14ac:dyDescent="0.25">
      <c r="A952" s="21" t="s">
        <v>2061</v>
      </c>
      <c r="B952" s="22" t="s">
        <v>2062</v>
      </c>
      <c r="C952" s="21"/>
      <c r="N952" t="str">
        <f>IF($B$1="","",IF(ISNUMBER(SEARCH($B$1,$A952&amp;" "&amp;$B952)),MAX($N$3:N951)+1,""))</f>
        <v/>
      </c>
    </row>
    <row r="953" spans="1:14" x14ac:dyDescent="0.25">
      <c r="A953" s="21" t="s">
        <v>2063</v>
      </c>
      <c r="B953" s="22" t="s">
        <v>2064</v>
      </c>
      <c r="C953" s="21"/>
      <c r="N953" t="str">
        <f>IF($B$1="","",IF(ISNUMBER(SEARCH($B$1,$A953&amp;" "&amp;$B953)),MAX($N$3:N952)+1,""))</f>
        <v/>
      </c>
    </row>
    <row r="954" spans="1:14" x14ac:dyDescent="0.25">
      <c r="A954" s="21" t="s">
        <v>2065</v>
      </c>
      <c r="B954" s="22" t="s">
        <v>2066</v>
      </c>
      <c r="C954" s="21"/>
      <c r="N954" t="str">
        <f>IF($B$1="","",IF(ISNUMBER(SEARCH($B$1,$A954&amp;" "&amp;$B954)),MAX($N$3:N953)+1,""))</f>
        <v/>
      </c>
    </row>
    <row r="955" spans="1:14" x14ac:dyDescent="0.25">
      <c r="A955" s="21" t="s">
        <v>2067</v>
      </c>
      <c r="B955" s="22" t="s">
        <v>2068</v>
      </c>
      <c r="C955" s="21"/>
      <c r="N955" t="str">
        <f>IF($B$1="","",IF(ISNUMBER(SEARCH($B$1,$A955&amp;" "&amp;$B955)),MAX($N$3:N954)+1,""))</f>
        <v/>
      </c>
    </row>
    <row r="956" spans="1:14" x14ac:dyDescent="0.25">
      <c r="A956" s="21" t="s">
        <v>2069</v>
      </c>
      <c r="B956" s="22" t="s">
        <v>2070</v>
      </c>
      <c r="C956" s="21"/>
      <c r="N956" t="str">
        <f>IF($B$1="","",IF(ISNUMBER(SEARCH($B$1,$A956&amp;" "&amp;$B956)),MAX($N$3:N955)+1,""))</f>
        <v/>
      </c>
    </row>
    <row r="957" spans="1:14" x14ac:dyDescent="0.25">
      <c r="A957" s="21" t="s">
        <v>2071</v>
      </c>
      <c r="B957" s="22" t="s">
        <v>2072</v>
      </c>
      <c r="C957" s="21"/>
      <c r="N957" t="str">
        <f>IF($B$1="","",IF(ISNUMBER(SEARCH($B$1,$A957&amp;" "&amp;$B957)),MAX($N$3:N956)+1,""))</f>
        <v/>
      </c>
    </row>
    <row r="958" spans="1:14" x14ac:dyDescent="0.25">
      <c r="A958" s="21" t="s">
        <v>2073</v>
      </c>
      <c r="B958" s="22" t="s">
        <v>39</v>
      </c>
      <c r="C958" s="21"/>
      <c r="N958" t="str">
        <f>IF($B$1="","",IF(ISNUMBER(SEARCH($B$1,$A958&amp;" "&amp;$B958)),MAX($N$3:N957)+1,""))</f>
        <v/>
      </c>
    </row>
    <row r="959" spans="1:14" x14ac:dyDescent="0.25">
      <c r="A959" s="21" t="s">
        <v>2074</v>
      </c>
      <c r="B959" s="22" t="s">
        <v>2075</v>
      </c>
      <c r="C959" s="21"/>
      <c r="N959" t="str">
        <f>IF($B$1="","",IF(ISNUMBER(SEARCH($B$1,$A959&amp;" "&amp;$B959)),MAX($N$3:N958)+1,""))</f>
        <v/>
      </c>
    </row>
    <row r="960" spans="1:14" x14ac:dyDescent="0.25">
      <c r="A960" s="21" t="s">
        <v>2076</v>
      </c>
      <c r="B960" s="22" t="s">
        <v>2077</v>
      </c>
      <c r="C960" s="21"/>
      <c r="N960" t="str">
        <f>IF($B$1="","",IF(ISNUMBER(SEARCH($B$1,$A960&amp;" "&amp;$B960)),MAX($N$3:N959)+1,""))</f>
        <v/>
      </c>
    </row>
    <row r="961" spans="1:14" x14ac:dyDescent="0.25">
      <c r="A961" s="21" t="s">
        <v>2078</v>
      </c>
      <c r="B961" s="22" t="s">
        <v>38</v>
      </c>
      <c r="C961" s="21" t="s">
        <v>455</v>
      </c>
      <c r="N961" t="str">
        <f>IF($B$1="","",IF(ISNUMBER(SEARCH($B$1,$A961&amp;" "&amp;$B961)),MAX($N$3:N960)+1,""))</f>
        <v/>
      </c>
    </row>
    <row r="962" spans="1:14" x14ac:dyDescent="0.25">
      <c r="A962" s="21" t="s">
        <v>2079</v>
      </c>
      <c r="B962" s="22" t="s">
        <v>2080</v>
      </c>
      <c r="C962" s="21"/>
      <c r="N962" t="str">
        <f>IF($B$1="","",IF(ISNUMBER(SEARCH($B$1,$A962&amp;" "&amp;$B962)),MAX($N$3:N961)+1,""))</f>
        <v/>
      </c>
    </row>
    <row r="963" spans="1:14" x14ac:dyDescent="0.25">
      <c r="A963" s="21" t="s">
        <v>2081</v>
      </c>
      <c r="B963" s="22" t="s">
        <v>2082</v>
      </c>
      <c r="C963" s="21"/>
      <c r="N963" t="str">
        <f>IF($B$1="","",IF(ISNUMBER(SEARCH($B$1,$A963&amp;" "&amp;$B963)),MAX($N$3:N962)+1,""))</f>
        <v/>
      </c>
    </row>
    <row r="964" spans="1:14" x14ac:dyDescent="0.25">
      <c r="A964" s="21" t="s">
        <v>2083</v>
      </c>
      <c r="B964" s="22" t="s">
        <v>2084</v>
      </c>
      <c r="C964" s="21"/>
      <c r="N964" t="str">
        <f>IF($B$1="","",IF(ISNUMBER(SEARCH($B$1,$A964&amp;" "&amp;$B964)),MAX($N$3:N963)+1,""))</f>
        <v/>
      </c>
    </row>
    <row r="965" spans="1:14" x14ac:dyDescent="0.25">
      <c r="A965" s="21" t="s">
        <v>2085</v>
      </c>
      <c r="B965" s="22" t="s">
        <v>2086</v>
      </c>
      <c r="C965" s="21"/>
      <c r="N965" t="str">
        <f>IF($B$1="","",IF(ISNUMBER(SEARCH($B$1,$A965&amp;" "&amp;$B965)),MAX($N$3:N964)+1,""))</f>
        <v/>
      </c>
    </row>
    <row r="966" spans="1:14" x14ac:dyDescent="0.25">
      <c r="A966" s="21" t="s">
        <v>2087</v>
      </c>
      <c r="B966" s="22" t="s">
        <v>2088</v>
      </c>
      <c r="C966" s="21"/>
      <c r="N966" t="str">
        <f>IF($B$1="","",IF(ISNUMBER(SEARCH($B$1,$A966&amp;" "&amp;$B966)),MAX($N$3:N965)+1,""))</f>
        <v/>
      </c>
    </row>
    <row r="967" spans="1:14" x14ac:dyDescent="0.25">
      <c r="A967" s="21" t="s">
        <v>2089</v>
      </c>
      <c r="B967" s="22" t="s">
        <v>2090</v>
      </c>
      <c r="C967" s="21"/>
      <c r="N967" t="str">
        <f>IF($B$1="","",IF(ISNUMBER(SEARCH($B$1,$A967&amp;" "&amp;$B967)),MAX($N$3:N966)+1,""))</f>
        <v/>
      </c>
    </row>
    <row r="968" spans="1:14" x14ac:dyDescent="0.25">
      <c r="A968" s="21" t="s">
        <v>2091</v>
      </c>
      <c r="B968" s="22" t="s">
        <v>2092</v>
      </c>
      <c r="C968" s="21"/>
      <c r="N968" t="str">
        <f>IF($B$1="","",IF(ISNUMBER(SEARCH($B$1,$A968&amp;" "&amp;$B968)),MAX($N$3:N967)+1,""))</f>
        <v/>
      </c>
    </row>
    <row r="969" spans="1:14" x14ac:dyDescent="0.25">
      <c r="A969" s="21" t="s">
        <v>2093</v>
      </c>
      <c r="B969" s="22" t="s">
        <v>2094</v>
      </c>
      <c r="C969" s="21"/>
      <c r="N969" t="str">
        <f>IF($B$1="","",IF(ISNUMBER(SEARCH($B$1,$A969&amp;" "&amp;$B969)),MAX($N$3:N968)+1,""))</f>
        <v/>
      </c>
    </row>
    <row r="970" spans="1:14" x14ac:dyDescent="0.25">
      <c r="A970" s="21" t="s">
        <v>2095</v>
      </c>
      <c r="B970" s="22" t="s">
        <v>2096</v>
      </c>
      <c r="C970" s="21"/>
      <c r="N970" t="str">
        <f>IF($B$1="","",IF(ISNUMBER(SEARCH($B$1,$A970&amp;" "&amp;$B970)),MAX($N$3:N969)+1,""))</f>
        <v/>
      </c>
    </row>
    <row r="971" spans="1:14" x14ac:dyDescent="0.25">
      <c r="A971" s="21" t="s">
        <v>2097</v>
      </c>
      <c r="B971" s="22" t="s">
        <v>2098</v>
      </c>
      <c r="C971" s="21"/>
      <c r="N971" t="str">
        <f>IF($B$1="","",IF(ISNUMBER(SEARCH($B$1,$A971&amp;" "&amp;$B971)),MAX($N$3:N970)+1,""))</f>
        <v/>
      </c>
    </row>
    <row r="972" spans="1:14" x14ac:dyDescent="0.25">
      <c r="A972" s="21" t="s">
        <v>2099</v>
      </c>
      <c r="B972" s="22" t="s">
        <v>2100</v>
      </c>
      <c r="C972" s="21"/>
      <c r="N972" t="str">
        <f>IF($B$1="","",IF(ISNUMBER(SEARCH($B$1,$A972&amp;" "&amp;$B972)),MAX($N$3:N971)+1,""))</f>
        <v/>
      </c>
    </row>
    <row r="973" spans="1:14" x14ac:dyDescent="0.25">
      <c r="A973" s="21" t="s">
        <v>2101</v>
      </c>
      <c r="B973" s="22" t="s">
        <v>2102</v>
      </c>
      <c r="C973" s="21"/>
      <c r="N973" t="str">
        <f>IF($B$1="","",IF(ISNUMBER(SEARCH($B$1,$A973&amp;" "&amp;$B973)),MAX($N$3:N972)+1,""))</f>
        <v/>
      </c>
    </row>
    <row r="974" spans="1:14" x14ac:dyDescent="0.25">
      <c r="A974" s="21" t="s">
        <v>2103</v>
      </c>
      <c r="B974" s="22" t="s">
        <v>2104</v>
      </c>
      <c r="C974" s="21"/>
      <c r="N974" t="str">
        <f>IF($B$1="","",IF(ISNUMBER(SEARCH($B$1,$A974&amp;" "&amp;$B974)),MAX($N$3:N973)+1,""))</f>
        <v/>
      </c>
    </row>
    <row r="975" spans="1:14" x14ac:dyDescent="0.25">
      <c r="A975" s="21" t="s">
        <v>2105</v>
      </c>
      <c r="B975" s="22" t="s">
        <v>2106</v>
      </c>
      <c r="C975" s="21"/>
      <c r="N975" t="str">
        <f>IF($B$1="","",IF(ISNUMBER(SEARCH($B$1,$A975&amp;" "&amp;$B975)),MAX($N$3:N974)+1,""))</f>
        <v/>
      </c>
    </row>
    <row r="976" spans="1:14" x14ac:dyDescent="0.25">
      <c r="A976" s="21" t="s">
        <v>2107</v>
      </c>
      <c r="B976" s="22" t="s">
        <v>2108</v>
      </c>
      <c r="C976" s="21"/>
      <c r="N976" t="str">
        <f>IF($B$1="","",IF(ISNUMBER(SEARCH($B$1,$A976&amp;" "&amp;$B976)),MAX($N$3:N975)+1,""))</f>
        <v/>
      </c>
    </row>
    <row r="977" spans="1:14" x14ac:dyDescent="0.25">
      <c r="A977" s="21" t="s">
        <v>2109</v>
      </c>
      <c r="B977" s="22" t="s">
        <v>2110</v>
      </c>
      <c r="C977" s="21"/>
      <c r="N977" t="str">
        <f>IF($B$1="","",IF(ISNUMBER(SEARCH($B$1,$A977&amp;" "&amp;$B977)),MAX($N$3:N976)+1,""))</f>
        <v/>
      </c>
    </row>
    <row r="978" spans="1:14" x14ac:dyDescent="0.25">
      <c r="A978" s="21" t="s">
        <v>2111</v>
      </c>
      <c r="B978" s="22" t="s">
        <v>2112</v>
      </c>
      <c r="C978" s="21"/>
      <c r="N978" t="str">
        <f>IF($B$1="","",IF(ISNUMBER(SEARCH($B$1,$A978&amp;" "&amp;$B978)),MAX($N$3:N977)+1,""))</f>
        <v/>
      </c>
    </row>
    <row r="979" spans="1:14" x14ac:dyDescent="0.25">
      <c r="A979" s="21" t="s">
        <v>2113</v>
      </c>
      <c r="B979" s="22" t="s">
        <v>2114</v>
      </c>
      <c r="C979" s="21"/>
      <c r="N979" t="str">
        <f>IF($B$1="","",IF(ISNUMBER(SEARCH($B$1,$A979&amp;" "&amp;$B979)),MAX($N$3:N978)+1,""))</f>
        <v/>
      </c>
    </row>
    <row r="980" spans="1:14" x14ac:dyDescent="0.25">
      <c r="A980" s="21" t="s">
        <v>2115</v>
      </c>
      <c r="B980" s="22" t="s">
        <v>2116</v>
      </c>
      <c r="C980" s="21"/>
      <c r="N980" t="str">
        <f>IF($B$1="","",IF(ISNUMBER(SEARCH($B$1,$A980&amp;" "&amp;$B980)),MAX($N$3:N979)+1,""))</f>
        <v/>
      </c>
    </row>
    <row r="981" spans="1:14" x14ac:dyDescent="0.25">
      <c r="A981" s="21" t="s">
        <v>2117</v>
      </c>
      <c r="B981" s="22" t="s">
        <v>2118</v>
      </c>
      <c r="C981" s="21"/>
      <c r="N981" t="str">
        <f>IF($B$1="","",IF(ISNUMBER(SEARCH($B$1,$A981&amp;" "&amp;$B981)),MAX($N$3:N980)+1,""))</f>
        <v/>
      </c>
    </row>
    <row r="982" spans="1:14" x14ac:dyDescent="0.25">
      <c r="A982" s="21" t="s">
        <v>2119</v>
      </c>
      <c r="B982" s="22" t="s">
        <v>2120</v>
      </c>
      <c r="C982" s="21"/>
      <c r="N982" t="str">
        <f>IF($B$1="","",IF(ISNUMBER(SEARCH($B$1,$A982&amp;" "&amp;$B982)),MAX($N$3:N981)+1,""))</f>
        <v/>
      </c>
    </row>
    <row r="983" spans="1:14" x14ac:dyDescent="0.25">
      <c r="A983" s="21" t="s">
        <v>2121</v>
      </c>
      <c r="B983" s="22" t="s">
        <v>2122</v>
      </c>
      <c r="C983" s="21"/>
      <c r="N983" t="str">
        <f>IF($B$1="","",IF(ISNUMBER(SEARCH($B$1,$A983&amp;" "&amp;$B983)),MAX($N$3:N982)+1,""))</f>
        <v/>
      </c>
    </row>
    <row r="984" spans="1:14" x14ac:dyDescent="0.25">
      <c r="A984" s="21" t="s">
        <v>2123</v>
      </c>
      <c r="B984" s="22" t="s">
        <v>2124</v>
      </c>
      <c r="C984" s="21"/>
      <c r="N984" t="str">
        <f>IF($B$1="","",IF(ISNUMBER(SEARCH($B$1,$A984&amp;" "&amp;$B984)),MAX($N$3:N983)+1,""))</f>
        <v/>
      </c>
    </row>
    <row r="985" spans="1:14" x14ac:dyDescent="0.25">
      <c r="A985" s="21" t="s">
        <v>2125</v>
      </c>
      <c r="B985" s="22" t="s">
        <v>2126</v>
      </c>
      <c r="C985" s="21"/>
      <c r="N985" t="str">
        <f>IF($B$1="","",IF(ISNUMBER(SEARCH($B$1,$A985&amp;" "&amp;$B985)),MAX($N$3:N984)+1,""))</f>
        <v/>
      </c>
    </row>
    <row r="986" spans="1:14" x14ac:dyDescent="0.25">
      <c r="A986" s="21" t="s">
        <v>2127</v>
      </c>
      <c r="B986" s="22" t="s">
        <v>2128</v>
      </c>
      <c r="C986" s="21"/>
      <c r="N986" t="str">
        <f>IF($B$1="","",IF(ISNUMBER(SEARCH($B$1,$A986&amp;" "&amp;$B986)),MAX($N$3:N985)+1,""))</f>
        <v/>
      </c>
    </row>
    <row r="987" spans="1:14" x14ac:dyDescent="0.25">
      <c r="A987" s="21" t="s">
        <v>2129</v>
      </c>
      <c r="B987" s="22" t="s">
        <v>2130</v>
      </c>
      <c r="C987" s="21"/>
      <c r="N987" t="str">
        <f>IF($B$1="","",IF(ISNUMBER(SEARCH($B$1,$A987&amp;" "&amp;$B987)),MAX($N$3:N986)+1,""))</f>
        <v/>
      </c>
    </row>
    <row r="988" spans="1:14" x14ac:dyDescent="0.25">
      <c r="A988" s="21" t="s">
        <v>2131</v>
      </c>
      <c r="B988" s="22" t="s">
        <v>2132</v>
      </c>
      <c r="C988" s="21"/>
      <c r="N988" t="str">
        <f>IF($B$1="","",IF(ISNUMBER(SEARCH($B$1,$A988&amp;" "&amp;$B988)),MAX($N$3:N987)+1,""))</f>
        <v/>
      </c>
    </row>
    <row r="989" spans="1:14" x14ac:dyDescent="0.25">
      <c r="A989" s="21" t="s">
        <v>2133</v>
      </c>
      <c r="B989" s="22" t="s">
        <v>2134</v>
      </c>
      <c r="C989" s="21"/>
      <c r="N989" t="str">
        <f>IF($B$1="","",IF(ISNUMBER(SEARCH($B$1,$A989&amp;" "&amp;$B989)),MAX($N$3:N988)+1,""))</f>
        <v/>
      </c>
    </row>
    <row r="990" spans="1:14" x14ac:dyDescent="0.25">
      <c r="A990" s="21" t="s">
        <v>2135</v>
      </c>
      <c r="B990" s="22" t="s">
        <v>2136</v>
      </c>
      <c r="C990" s="21"/>
      <c r="N990" t="str">
        <f>IF($B$1="","",IF(ISNUMBER(SEARCH($B$1,$A990&amp;" "&amp;$B990)),MAX($N$3:N989)+1,""))</f>
        <v/>
      </c>
    </row>
    <row r="991" spans="1:14" x14ac:dyDescent="0.25">
      <c r="A991" s="21" t="s">
        <v>2137</v>
      </c>
      <c r="B991" s="22" t="s">
        <v>2138</v>
      </c>
      <c r="C991" s="21"/>
      <c r="N991" t="str">
        <f>IF($B$1="","",IF(ISNUMBER(SEARCH($B$1,$A991&amp;" "&amp;$B991)),MAX($N$3:N990)+1,""))</f>
        <v/>
      </c>
    </row>
    <row r="992" spans="1:14" x14ac:dyDescent="0.25">
      <c r="A992" s="21" t="s">
        <v>2139</v>
      </c>
      <c r="B992" s="22" t="s">
        <v>2140</v>
      </c>
      <c r="C992" s="21"/>
      <c r="N992" t="str">
        <f>IF($B$1="","",IF(ISNUMBER(SEARCH($B$1,$A992&amp;" "&amp;$B992)),MAX($N$3:N991)+1,""))</f>
        <v/>
      </c>
    </row>
    <row r="993" spans="1:14" x14ac:dyDescent="0.25">
      <c r="A993" s="21" t="s">
        <v>2141</v>
      </c>
      <c r="B993" s="22" t="s">
        <v>2142</v>
      </c>
      <c r="C993" s="21"/>
      <c r="N993" t="str">
        <f>IF($B$1="","",IF(ISNUMBER(SEARCH($B$1,$A993&amp;" "&amp;$B993)),MAX($N$3:N992)+1,""))</f>
        <v/>
      </c>
    </row>
    <row r="994" spans="1:14" x14ac:dyDescent="0.25">
      <c r="A994" s="21" t="s">
        <v>2143</v>
      </c>
      <c r="B994" s="22" t="s">
        <v>2144</v>
      </c>
      <c r="C994" s="21"/>
      <c r="N994" t="str">
        <f>IF($B$1="","",IF(ISNUMBER(SEARCH($B$1,$A994&amp;" "&amp;$B994)),MAX($N$3:N993)+1,""))</f>
        <v/>
      </c>
    </row>
    <row r="995" spans="1:14" x14ac:dyDescent="0.25">
      <c r="A995" s="21" t="s">
        <v>2145</v>
      </c>
      <c r="B995" s="22" t="s">
        <v>2146</v>
      </c>
      <c r="C995" s="21"/>
      <c r="N995" t="str">
        <f>IF($B$1="","",IF(ISNUMBER(SEARCH($B$1,$A995&amp;" "&amp;$B995)),MAX($N$3:N994)+1,""))</f>
        <v/>
      </c>
    </row>
    <row r="996" spans="1:14" x14ac:dyDescent="0.25">
      <c r="A996" s="21" t="s">
        <v>2147</v>
      </c>
      <c r="B996" s="22" t="s">
        <v>2148</v>
      </c>
      <c r="C996" s="21"/>
      <c r="N996" t="str">
        <f>IF($B$1="","",IF(ISNUMBER(SEARCH($B$1,$A996&amp;" "&amp;$B996)),MAX($N$3:N995)+1,""))</f>
        <v/>
      </c>
    </row>
    <row r="997" spans="1:14" x14ac:dyDescent="0.25">
      <c r="A997" s="21" t="s">
        <v>2149</v>
      </c>
      <c r="B997" s="22" t="s">
        <v>2150</v>
      </c>
      <c r="C997" s="21"/>
      <c r="N997" t="str">
        <f>IF($B$1="","",IF(ISNUMBER(SEARCH($B$1,$A997&amp;" "&amp;$B997)),MAX($N$3:N996)+1,""))</f>
        <v/>
      </c>
    </row>
    <row r="998" spans="1:14" x14ac:dyDescent="0.25">
      <c r="A998" s="21" t="s">
        <v>2151</v>
      </c>
      <c r="B998" s="22" t="s">
        <v>2152</v>
      </c>
      <c r="C998" s="21"/>
      <c r="N998" t="str">
        <f>IF($B$1="","",IF(ISNUMBER(SEARCH($B$1,$A998&amp;" "&amp;$B998)),MAX($N$3:N997)+1,""))</f>
        <v/>
      </c>
    </row>
    <row r="999" spans="1:14" x14ac:dyDescent="0.25">
      <c r="A999" s="21" t="s">
        <v>2153</v>
      </c>
      <c r="B999" s="22" t="s">
        <v>2154</v>
      </c>
      <c r="C999" s="21"/>
      <c r="N999" t="str">
        <f>IF($B$1="","",IF(ISNUMBER(SEARCH($B$1,$A999&amp;" "&amp;$B999)),MAX($N$3:N998)+1,""))</f>
        <v/>
      </c>
    </row>
    <row r="1000" spans="1:14" x14ac:dyDescent="0.25">
      <c r="A1000" s="21" t="s">
        <v>2155</v>
      </c>
      <c r="B1000" s="22" t="s">
        <v>2156</v>
      </c>
      <c r="C1000" s="21"/>
      <c r="N1000" t="str">
        <f>IF($B$1="","",IF(ISNUMBER(SEARCH($B$1,$A1000&amp;" "&amp;$B1000)),MAX($N$3:N999)+1,""))</f>
        <v/>
      </c>
    </row>
    <row r="1001" spans="1:14" x14ac:dyDescent="0.25">
      <c r="A1001" s="21" t="s">
        <v>2157</v>
      </c>
      <c r="B1001" s="22" t="s">
        <v>2158</v>
      </c>
      <c r="C1001" s="21"/>
      <c r="N1001" t="str">
        <f>IF($B$1="","",IF(ISNUMBER(SEARCH($B$1,$A1001&amp;" "&amp;$B1001)),MAX($N$3:N1000)+1,""))</f>
        <v/>
      </c>
    </row>
    <row r="1002" spans="1:14" x14ac:dyDescent="0.25">
      <c r="A1002" s="21" t="s">
        <v>2159</v>
      </c>
      <c r="B1002" s="22" t="s">
        <v>2160</v>
      </c>
      <c r="C1002" s="21"/>
      <c r="N1002" t="str">
        <f>IF($B$1="","",IF(ISNUMBER(SEARCH($B$1,$A1002&amp;" "&amp;$B1002)),MAX($N$3:N1001)+1,""))</f>
        <v/>
      </c>
    </row>
    <row r="1003" spans="1:14" x14ac:dyDescent="0.25">
      <c r="A1003" s="21" t="s">
        <v>2161</v>
      </c>
      <c r="B1003" s="22" t="s">
        <v>2162</v>
      </c>
      <c r="C1003" s="21"/>
      <c r="N1003" t="str">
        <f>IF($B$1="","",IF(ISNUMBER(SEARCH($B$1,$A1003&amp;" "&amp;$B1003)),MAX($N$3:N1002)+1,""))</f>
        <v/>
      </c>
    </row>
    <row r="1004" spans="1:14" x14ac:dyDescent="0.25">
      <c r="A1004" s="21" t="s">
        <v>2163</v>
      </c>
      <c r="B1004" s="22" t="s">
        <v>2164</v>
      </c>
      <c r="C1004" s="21"/>
      <c r="N1004" t="str">
        <f>IF($B$1="","",IF(ISNUMBER(SEARCH($B$1,$A1004&amp;" "&amp;$B1004)),MAX($N$3:N1003)+1,""))</f>
        <v/>
      </c>
    </row>
    <row r="1005" spans="1:14" x14ac:dyDescent="0.25">
      <c r="A1005" s="21" t="s">
        <v>2165</v>
      </c>
      <c r="B1005" s="22" t="s">
        <v>2166</v>
      </c>
      <c r="C1005" s="21"/>
      <c r="N1005" t="str">
        <f>IF($B$1="","",IF(ISNUMBER(SEARCH($B$1,$A1005&amp;" "&amp;$B1005)),MAX($N$3:N1004)+1,""))</f>
        <v/>
      </c>
    </row>
    <row r="1006" spans="1:14" x14ac:dyDescent="0.25">
      <c r="A1006" s="21" t="s">
        <v>2167</v>
      </c>
      <c r="B1006" s="22" t="s">
        <v>2168</v>
      </c>
      <c r="C1006" s="21"/>
      <c r="N1006" t="str">
        <f>IF($B$1="","",IF(ISNUMBER(SEARCH($B$1,$A1006&amp;" "&amp;$B1006)),MAX($N$3:N1005)+1,""))</f>
        <v/>
      </c>
    </row>
    <row r="1007" spans="1:14" x14ac:dyDescent="0.25">
      <c r="A1007" s="21" t="s">
        <v>2169</v>
      </c>
      <c r="B1007" s="22" t="s">
        <v>2170</v>
      </c>
      <c r="C1007" s="21"/>
      <c r="N1007" t="str">
        <f>IF($B$1="","",IF(ISNUMBER(SEARCH($B$1,$A1007&amp;" "&amp;$B1007)),MAX($N$3:N1006)+1,""))</f>
        <v/>
      </c>
    </row>
    <row r="1008" spans="1:14" x14ac:dyDescent="0.25">
      <c r="A1008" s="21" t="s">
        <v>2171</v>
      </c>
      <c r="B1008" s="22" t="s">
        <v>2172</v>
      </c>
      <c r="C1008" s="21"/>
      <c r="N1008" t="str">
        <f>IF($B$1="","",IF(ISNUMBER(SEARCH($B$1,$A1008&amp;" "&amp;$B1008)),MAX($N$3:N1007)+1,""))</f>
        <v/>
      </c>
    </row>
    <row r="1009" spans="1:14" x14ac:dyDescent="0.25">
      <c r="A1009" s="21" t="s">
        <v>2173</v>
      </c>
      <c r="B1009" s="22" t="s">
        <v>2174</v>
      </c>
      <c r="C1009" s="21"/>
      <c r="N1009" t="str">
        <f>IF($B$1="","",IF(ISNUMBER(SEARCH($B$1,$A1009&amp;" "&amp;$B1009)),MAX($N$3:N1008)+1,""))</f>
        <v/>
      </c>
    </row>
    <row r="1010" spans="1:14" x14ac:dyDescent="0.25">
      <c r="A1010" s="21" t="s">
        <v>2175</v>
      </c>
      <c r="B1010" s="22" t="s">
        <v>2176</v>
      </c>
      <c r="C1010" s="21"/>
      <c r="N1010" t="str">
        <f>IF($B$1="","",IF(ISNUMBER(SEARCH($B$1,$A1010&amp;" "&amp;$B1010)),MAX($N$3:N1009)+1,""))</f>
        <v/>
      </c>
    </row>
    <row r="1011" spans="1:14" x14ac:dyDescent="0.25">
      <c r="A1011" s="21" t="s">
        <v>2177</v>
      </c>
      <c r="B1011" s="22" t="s">
        <v>2178</v>
      </c>
      <c r="C1011" s="21"/>
      <c r="N1011" t="str">
        <f>IF($B$1="","",IF(ISNUMBER(SEARCH($B$1,$A1011&amp;" "&amp;$B1011)),MAX($N$3:N1010)+1,""))</f>
        <v/>
      </c>
    </row>
    <row r="1012" spans="1:14" x14ac:dyDescent="0.25">
      <c r="A1012" s="21" t="s">
        <v>2179</v>
      </c>
      <c r="B1012" s="22" t="s">
        <v>2180</v>
      </c>
      <c r="C1012" s="21"/>
      <c r="N1012" t="str">
        <f>IF($B$1="","",IF(ISNUMBER(SEARCH($B$1,$A1012&amp;" "&amp;$B1012)),MAX($N$3:N1011)+1,""))</f>
        <v/>
      </c>
    </row>
    <row r="1013" spans="1:14" x14ac:dyDescent="0.25">
      <c r="A1013" s="21" t="s">
        <v>2181</v>
      </c>
      <c r="B1013" s="22" t="s">
        <v>2182</v>
      </c>
      <c r="C1013" s="21"/>
      <c r="N1013" t="str">
        <f>IF($B$1="","",IF(ISNUMBER(SEARCH($B$1,$A1013&amp;" "&amp;$B1013)),MAX($N$3:N1012)+1,""))</f>
        <v/>
      </c>
    </row>
    <row r="1014" spans="1:14" x14ac:dyDescent="0.25">
      <c r="A1014" s="21" t="s">
        <v>2183</v>
      </c>
      <c r="B1014" s="22" t="s">
        <v>2184</v>
      </c>
      <c r="C1014" s="21"/>
      <c r="N1014" t="str">
        <f>IF($B$1="","",IF(ISNUMBER(SEARCH($B$1,$A1014&amp;" "&amp;$B1014)),MAX($N$3:N1013)+1,""))</f>
        <v/>
      </c>
    </row>
    <row r="1015" spans="1:14" x14ac:dyDescent="0.25">
      <c r="A1015" s="21" t="s">
        <v>2185</v>
      </c>
      <c r="B1015" s="22" t="s">
        <v>2186</v>
      </c>
      <c r="C1015" s="21"/>
      <c r="N1015" t="str">
        <f>IF($B$1="","",IF(ISNUMBER(SEARCH($B$1,$A1015&amp;" "&amp;$B1015)),MAX($N$3:N1014)+1,""))</f>
        <v/>
      </c>
    </row>
    <row r="1016" spans="1:14" x14ac:dyDescent="0.25">
      <c r="A1016" s="21" t="s">
        <v>2187</v>
      </c>
      <c r="B1016" s="22" t="s">
        <v>2188</v>
      </c>
      <c r="C1016" s="21"/>
      <c r="N1016" t="str">
        <f>IF($B$1="","",IF(ISNUMBER(SEARCH($B$1,$A1016&amp;" "&amp;$B1016)),MAX($N$3:N1015)+1,""))</f>
        <v/>
      </c>
    </row>
    <row r="1017" spans="1:14" x14ac:dyDescent="0.25">
      <c r="A1017" s="21" t="s">
        <v>2189</v>
      </c>
      <c r="B1017" s="22" t="s">
        <v>2190</v>
      </c>
      <c r="C1017" s="21"/>
      <c r="N1017" t="str">
        <f>IF($B$1="","",IF(ISNUMBER(SEARCH($B$1,$A1017&amp;" "&amp;$B1017)),MAX($N$3:N1016)+1,""))</f>
        <v/>
      </c>
    </row>
    <row r="1018" spans="1:14" x14ac:dyDescent="0.25">
      <c r="A1018" s="21" t="s">
        <v>2191</v>
      </c>
      <c r="B1018" s="22" t="s">
        <v>2192</v>
      </c>
      <c r="C1018" s="21"/>
      <c r="N1018" t="str">
        <f>IF($B$1="","",IF(ISNUMBER(SEARCH($B$1,$A1018&amp;" "&amp;$B1018)),MAX($N$3:N1017)+1,""))</f>
        <v/>
      </c>
    </row>
    <row r="1019" spans="1:14" x14ac:dyDescent="0.25">
      <c r="A1019" s="21" t="s">
        <v>2193</v>
      </c>
      <c r="B1019" s="22" t="s">
        <v>2194</v>
      </c>
      <c r="C1019" s="21"/>
      <c r="N1019" t="str">
        <f>IF($B$1="","",IF(ISNUMBER(SEARCH($B$1,$A1019&amp;" "&amp;$B1019)),MAX($N$3:N1018)+1,""))</f>
        <v/>
      </c>
    </row>
    <row r="1020" spans="1:14" x14ac:dyDescent="0.25">
      <c r="A1020" s="21" t="s">
        <v>2195</v>
      </c>
      <c r="B1020" s="22" t="s">
        <v>2196</v>
      </c>
      <c r="C1020" s="21"/>
      <c r="N1020" t="str">
        <f>IF($B$1="","",IF(ISNUMBER(SEARCH($B$1,$A1020&amp;" "&amp;$B1020)),MAX($N$3:N1019)+1,""))</f>
        <v/>
      </c>
    </row>
    <row r="1021" spans="1:14" x14ac:dyDescent="0.25">
      <c r="A1021" s="21" t="s">
        <v>2197</v>
      </c>
      <c r="B1021" s="22" t="s">
        <v>2198</v>
      </c>
      <c r="C1021" s="21"/>
      <c r="N1021" t="str">
        <f>IF($B$1="","",IF(ISNUMBER(SEARCH($B$1,$A1021&amp;" "&amp;$B1021)),MAX($N$3:N1020)+1,""))</f>
        <v/>
      </c>
    </row>
    <row r="1022" spans="1:14" x14ac:dyDescent="0.25">
      <c r="A1022" s="21" t="s">
        <v>2199</v>
      </c>
      <c r="B1022" s="22" t="s">
        <v>2200</v>
      </c>
      <c r="C1022" s="21"/>
      <c r="N1022" t="str">
        <f>IF($B$1="","",IF(ISNUMBER(SEARCH($B$1,$A1022&amp;" "&amp;$B1022)),MAX($N$3:N1021)+1,""))</f>
        <v/>
      </c>
    </row>
    <row r="1023" spans="1:14" x14ac:dyDescent="0.25">
      <c r="A1023" s="21" t="s">
        <v>2201</v>
      </c>
      <c r="B1023" s="22" t="s">
        <v>2202</v>
      </c>
      <c r="C1023" s="21"/>
      <c r="N1023" t="str">
        <f>IF($B$1="","",IF(ISNUMBER(SEARCH($B$1,$A1023&amp;" "&amp;$B1023)),MAX($N$3:N1022)+1,""))</f>
        <v/>
      </c>
    </row>
    <row r="1024" spans="1:14" x14ac:dyDescent="0.25">
      <c r="A1024" s="21" t="s">
        <v>2203</v>
      </c>
      <c r="B1024" s="22" t="s">
        <v>2204</v>
      </c>
      <c r="C1024" s="21"/>
      <c r="N1024" t="str">
        <f>IF($B$1="","",IF(ISNUMBER(SEARCH($B$1,$A1024&amp;" "&amp;$B1024)),MAX($N$3:N1023)+1,""))</f>
        <v/>
      </c>
    </row>
    <row r="1025" spans="1:14" x14ac:dyDescent="0.25">
      <c r="A1025" s="21" t="s">
        <v>2205</v>
      </c>
      <c r="B1025" s="22" t="s">
        <v>2206</v>
      </c>
      <c r="C1025" s="21"/>
      <c r="N1025" t="str">
        <f>IF($B$1="","",IF(ISNUMBER(SEARCH($B$1,$A1025&amp;" "&amp;$B1025)),MAX($N$3:N1024)+1,""))</f>
        <v/>
      </c>
    </row>
    <row r="1026" spans="1:14" x14ac:dyDescent="0.25">
      <c r="A1026" s="21" t="s">
        <v>2207</v>
      </c>
      <c r="B1026" s="22" t="s">
        <v>2208</v>
      </c>
      <c r="C1026" s="21"/>
      <c r="N1026" t="str">
        <f>IF($B$1="","",IF(ISNUMBER(SEARCH($B$1,$A1026&amp;" "&amp;$B1026)),MAX($N$3:N1025)+1,""))</f>
        <v/>
      </c>
    </row>
    <row r="1027" spans="1:14" x14ac:dyDescent="0.25">
      <c r="A1027" s="21" t="s">
        <v>2209</v>
      </c>
      <c r="B1027" s="22" t="s">
        <v>2210</v>
      </c>
      <c r="C1027" s="21"/>
      <c r="N1027" t="str">
        <f>IF($B$1="","",IF(ISNUMBER(SEARCH($B$1,$A1027&amp;" "&amp;$B1027)),MAX($N$3:N1026)+1,""))</f>
        <v/>
      </c>
    </row>
    <row r="1028" spans="1:14" x14ac:dyDescent="0.25">
      <c r="A1028" s="21" t="s">
        <v>2211</v>
      </c>
      <c r="B1028" s="22" t="s">
        <v>2212</v>
      </c>
      <c r="C1028" s="21"/>
      <c r="N1028" t="str">
        <f>IF($B$1="","",IF(ISNUMBER(SEARCH($B$1,$A1028&amp;" "&amp;$B1028)),MAX($N$3:N1027)+1,""))</f>
        <v/>
      </c>
    </row>
    <row r="1029" spans="1:14" x14ac:dyDescent="0.25">
      <c r="A1029" s="21" t="s">
        <v>2213</v>
      </c>
      <c r="B1029" s="22" t="s">
        <v>2214</v>
      </c>
      <c r="C1029" s="21"/>
      <c r="N1029" t="str">
        <f>IF($B$1="","",IF(ISNUMBER(SEARCH($B$1,$A1029&amp;" "&amp;$B1029)),MAX($N$3:N1028)+1,""))</f>
        <v/>
      </c>
    </row>
    <row r="1030" spans="1:14" x14ac:dyDescent="0.25">
      <c r="A1030" s="21" t="s">
        <v>2215</v>
      </c>
      <c r="B1030" s="22" t="s">
        <v>2216</v>
      </c>
      <c r="C1030" s="21"/>
      <c r="N1030" t="str">
        <f>IF($B$1="","",IF(ISNUMBER(SEARCH($B$1,$A1030&amp;" "&amp;$B1030)),MAX($N$3:N1029)+1,""))</f>
        <v/>
      </c>
    </row>
    <row r="1031" spans="1:14" x14ac:dyDescent="0.25">
      <c r="A1031" s="21" t="s">
        <v>2217</v>
      </c>
      <c r="B1031" s="22" t="s">
        <v>2218</v>
      </c>
      <c r="C1031" s="21"/>
      <c r="N1031" t="str">
        <f>IF($B$1="","",IF(ISNUMBER(SEARCH($B$1,$A1031&amp;" "&amp;$B1031)),MAX($N$3:N1030)+1,""))</f>
        <v/>
      </c>
    </row>
    <row r="1032" spans="1:14" x14ac:dyDescent="0.25">
      <c r="A1032" s="21" t="s">
        <v>2219</v>
      </c>
      <c r="B1032" s="22" t="s">
        <v>2220</v>
      </c>
      <c r="C1032" s="21"/>
      <c r="N1032" t="str">
        <f>IF($B$1="","",IF(ISNUMBER(SEARCH($B$1,$A1032&amp;" "&amp;$B1032)),MAX($N$3:N1031)+1,""))</f>
        <v/>
      </c>
    </row>
    <row r="1033" spans="1:14" x14ac:dyDescent="0.25">
      <c r="A1033" s="21" t="s">
        <v>2221</v>
      </c>
      <c r="B1033" s="22" t="s">
        <v>2222</v>
      </c>
      <c r="C1033" s="21"/>
      <c r="N1033" t="str">
        <f>IF($B$1="","",IF(ISNUMBER(SEARCH($B$1,$A1033&amp;" "&amp;$B1033)),MAX($N$3:N1032)+1,""))</f>
        <v/>
      </c>
    </row>
    <row r="1034" spans="1:14" x14ac:dyDescent="0.25">
      <c r="A1034" s="21" t="s">
        <v>2223</v>
      </c>
      <c r="B1034" s="22" t="s">
        <v>2224</v>
      </c>
      <c r="C1034" s="21"/>
      <c r="N1034" t="str">
        <f>IF($B$1="","",IF(ISNUMBER(SEARCH($B$1,$A1034&amp;" "&amp;$B1034)),MAX($N$3:N1033)+1,""))</f>
        <v/>
      </c>
    </row>
    <row r="1035" spans="1:14" x14ac:dyDescent="0.25">
      <c r="A1035" s="21" t="s">
        <v>2225</v>
      </c>
      <c r="B1035" s="22" t="s">
        <v>2226</v>
      </c>
      <c r="C1035" s="21"/>
      <c r="N1035" t="str">
        <f>IF($B$1="","",IF(ISNUMBER(SEARCH($B$1,$A1035&amp;" "&amp;$B1035)),MAX($N$3:N1034)+1,""))</f>
        <v/>
      </c>
    </row>
    <row r="1036" spans="1:14" x14ac:dyDescent="0.25">
      <c r="A1036" s="21" t="s">
        <v>2227</v>
      </c>
      <c r="B1036" s="22" t="s">
        <v>2228</v>
      </c>
      <c r="C1036" s="21"/>
      <c r="N1036" t="str">
        <f>IF($B$1="","",IF(ISNUMBER(SEARCH($B$1,$A1036&amp;" "&amp;$B1036)),MAX($N$3:N1035)+1,""))</f>
        <v/>
      </c>
    </row>
    <row r="1037" spans="1:14" x14ac:dyDescent="0.25">
      <c r="A1037" s="21" t="s">
        <v>2229</v>
      </c>
      <c r="B1037" s="22" t="s">
        <v>2230</v>
      </c>
      <c r="C1037" s="21"/>
      <c r="N1037" t="str">
        <f>IF($B$1="","",IF(ISNUMBER(SEARCH($B$1,$A1037&amp;" "&amp;$B1037)),MAX($N$3:N1036)+1,""))</f>
        <v/>
      </c>
    </row>
    <row r="1038" spans="1:14" x14ac:dyDescent="0.25">
      <c r="A1038" s="21" t="s">
        <v>2231</v>
      </c>
      <c r="B1038" s="22" t="s">
        <v>2232</v>
      </c>
      <c r="C1038" s="21"/>
      <c r="N1038" t="str">
        <f>IF($B$1="","",IF(ISNUMBER(SEARCH($B$1,$A1038&amp;" "&amp;$B1038)),MAX($N$3:N1037)+1,""))</f>
        <v/>
      </c>
    </row>
    <row r="1039" spans="1:14" x14ac:dyDescent="0.25">
      <c r="A1039" s="21" t="s">
        <v>2233</v>
      </c>
      <c r="B1039" s="22" t="s">
        <v>2234</v>
      </c>
      <c r="C1039" s="21"/>
      <c r="N1039" t="str">
        <f>IF($B$1="","",IF(ISNUMBER(SEARCH($B$1,$A1039&amp;" "&amp;$B1039)),MAX($N$3:N1038)+1,""))</f>
        <v/>
      </c>
    </row>
    <row r="1040" spans="1:14" x14ac:dyDescent="0.25">
      <c r="A1040" s="21" t="s">
        <v>2235</v>
      </c>
      <c r="B1040" s="22" t="s">
        <v>2236</v>
      </c>
      <c r="C1040" s="21"/>
      <c r="N1040" t="str">
        <f>IF($B$1="","",IF(ISNUMBER(SEARCH($B$1,$A1040&amp;" "&amp;$B1040)),MAX($N$3:N1039)+1,""))</f>
        <v/>
      </c>
    </row>
    <row r="1041" spans="1:14" x14ac:dyDescent="0.25">
      <c r="A1041" s="21" t="s">
        <v>2237</v>
      </c>
      <c r="B1041" s="22" t="s">
        <v>2238</v>
      </c>
      <c r="C1041" s="21"/>
      <c r="N1041" t="str">
        <f>IF($B$1="","",IF(ISNUMBER(SEARCH($B$1,$A1041&amp;" "&amp;$B1041)),MAX($N$3:N1040)+1,""))</f>
        <v/>
      </c>
    </row>
    <row r="1042" spans="1:14" x14ac:dyDescent="0.25">
      <c r="A1042" s="21" t="s">
        <v>2239</v>
      </c>
      <c r="B1042" s="22" t="s">
        <v>2240</v>
      </c>
      <c r="C1042" s="21"/>
      <c r="N1042" t="str">
        <f>IF($B$1="","",IF(ISNUMBER(SEARCH($B$1,$A1042&amp;" "&amp;$B1042)),MAX($N$3:N1041)+1,""))</f>
        <v/>
      </c>
    </row>
    <row r="1043" spans="1:14" x14ac:dyDescent="0.25">
      <c r="A1043" s="21" t="s">
        <v>2241</v>
      </c>
      <c r="B1043" s="22" t="s">
        <v>2242</v>
      </c>
      <c r="C1043" s="21"/>
      <c r="N1043" t="str">
        <f>IF($B$1="","",IF(ISNUMBER(SEARCH($B$1,$A1043&amp;" "&amp;$B1043)),MAX($N$3:N1042)+1,""))</f>
        <v/>
      </c>
    </row>
    <row r="1044" spans="1:14" x14ac:dyDescent="0.25">
      <c r="A1044" s="21" t="s">
        <v>2243</v>
      </c>
      <c r="B1044" s="22" t="s">
        <v>2244</v>
      </c>
      <c r="C1044" s="21"/>
      <c r="N1044" t="str">
        <f>IF($B$1="","",IF(ISNUMBER(SEARCH($B$1,$A1044&amp;" "&amp;$B1044)),MAX($N$3:N1043)+1,""))</f>
        <v/>
      </c>
    </row>
    <row r="1045" spans="1:14" x14ac:dyDescent="0.25">
      <c r="A1045" s="21" t="s">
        <v>2245</v>
      </c>
      <c r="B1045" s="22" t="s">
        <v>2246</v>
      </c>
      <c r="C1045" s="21"/>
      <c r="N1045" t="str">
        <f>IF($B$1="","",IF(ISNUMBER(SEARCH($B$1,$A1045&amp;" "&amp;$B1045)),MAX($N$3:N1044)+1,""))</f>
        <v/>
      </c>
    </row>
    <row r="1046" spans="1:14" x14ac:dyDescent="0.25">
      <c r="A1046" s="21" t="s">
        <v>2247</v>
      </c>
      <c r="B1046" s="22" t="s">
        <v>2248</v>
      </c>
      <c r="C1046" s="21"/>
      <c r="N1046" t="str">
        <f>IF($B$1="","",IF(ISNUMBER(SEARCH($B$1,$A1046&amp;" "&amp;$B1046)),MAX($N$3:N1045)+1,""))</f>
        <v/>
      </c>
    </row>
    <row r="1047" spans="1:14" x14ac:dyDescent="0.25">
      <c r="A1047" s="21" t="s">
        <v>2249</v>
      </c>
      <c r="B1047" s="22" t="s">
        <v>2250</v>
      </c>
      <c r="C1047" s="21"/>
      <c r="N1047" t="str">
        <f>IF($B$1="","",IF(ISNUMBER(SEARCH($B$1,$A1047&amp;" "&amp;$B1047)),MAX($N$3:N1046)+1,""))</f>
        <v/>
      </c>
    </row>
    <row r="1048" spans="1:14" x14ac:dyDescent="0.25">
      <c r="A1048" s="21" t="s">
        <v>2251</v>
      </c>
      <c r="B1048" s="22" t="s">
        <v>40</v>
      </c>
      <c r="C1048" s="21" t="s">
        <v>455</v>
      </c>
      <c r="N1048" t="str">
        <f>IF($B$1="","",IF(ISNUMBER(SEARCH($B$1,$A1048&amp;" "&amp;$B1048)),MAX($N$3:N1047)+1,""))</f>
        <v/>
      </c>
    </row>
    <row r="1049" spans="1:14" x14ac:dyDescent="0.25">
      <c r="A1049" s="21" t="s">
        <v>2252</v>
      </c>
      <c r="B1049" s="22" t="s">
        <v>2253</v>
      </c>
      <c r="C1049" s="21"/>
      <c r="N1049" t="str">
        <f>IF($B$1="","",IF(ISNUMBER(SEARCH($B$1,$A1049&amp;" "&amp;$B1049)),MAX($N$3:N1048)+1,""))</f>
        <v/>
      </c>
    </row>
    <row r="1050" spans="1:14" x14ac:dyDescent="0.25">
      <c r="A1050" s="21" t="s">
        <v>2254</v>
      </c>
      <c r="B1050" s="22" t="s">
        <v>2255</v>
      </c>
      <c r="C1050" s="21"/>
      <c r="N1050" t="str">
        <f>IF($B$1="","",IF(ISNUMBER(SEARCH($B$1,$A1050&amp;" "&amp;$B1050)),MAX($N$3:N1049)+1,""))</f>
        <v/>
      </c>
    </row>
    <row r="1051" spans="1:14" x14ac:dyDescent="0.25">
      <c r="A1051" s="21" t="s">
        <v>2256</v>
      </c>
      <c r="B1051" s="22" t="s">
        <v>2257</v>
      </c>
      <c r="C1051" s="21"/>
      <c r="N1051" t="str">
        <f>IF($B$1="","",IF(ISNUMBER(SEARCH($B$1,$A1051&amp;" "&amp;$B1051)),MAX($N$3:N1050)+1,""))</f>
        <v/>
      </c>
    </row>
    <row r="1052" spans="1:14" x14ac:dyDescent="0.25">
      <c r="A1052" s="21" t="s">
        <v>2258</v>
      </c>
      <c r="B1052" s="22" t="s">
        <v>2259</v>
      </c>
      <c r="C1052" s="21"/>
      <c r="N1052" t="str">
        <f>IF($B$1="","",IF(ISNUMBER(SEARCH($B$1,$A1052&amp;" "&amp;$B1052)),MAX($N$3:N1051)+1,""))</f>
        <v/>
      </c>
    </row>
    <row r="1053" spans="1:14" x14ac:dyDescent="0.25">
      <c r="A1053" s="21" t="s">
        <v>2260</v>
      </c>
      <c r="B1053" s="22" t="s">
        <v>2261</v>
      </c>
      <c r="C1053" s="21"/>
      <c r="N1053" t="str">
        <f>IF($B$1="","",IF(ISNUMBER(SEARCH($B$1,$A1053&amp;" "&amp;$B1053)),MAX($N$3:N1052)+1,""))</f>
        <v/>
      </c>
    </row>
    <row r="1054" spans="1:14" x14ac:dyDescent="0.25">
      <c r="A1054" s="21" t="s">
        <v>2262</v>
      </c>
      <c r="B1054" s="22" t="s">
        <v>2263</v>
      </c>
      <c r="C1054" s="21"/>
      <c r="N1054" t="str">
        <f>IF($B$1="","",IF(ISNUMBER(SEARCH($B$1,$A1054&amp;" "&amp;$B1054)),MAX($N$3:N1053)+1,""))</f>
        <v/>
      </c>
    </row>
    <row r="1055" spans="1:14" x14ac:dyDescent="0.25">
      <c r="A1055" s="21" t="s">
        <v>2264</v>
      </c>
      <c r="B1055" s="22" t="s">
        <v>2265</v>
      </c>
      <c r="C1055" s="21"/>
      <c r="N1055" t="str">
        <f>IF($B$1="","",IF(ISNUMBER(SEARCH($B$1,$A1055&amp;" "&amp;$B1055)),MAX($N$3:N1054)+1,""))</f>
        <v/>
      </c>
    </row>
    <row r="1056" spans="1:14" x14ac:dyDescent="0.25">
      <c r="A1056" s="21" t="s">
        <v>2266</v>
      </c>
      <c r="B1056" s="22" t="s">
        <v>2267</v>
      </c>
      <c r="C1056" s="21"/>
      <c r="N1056" t="str">
        <f>IF($B$1="","",IF(ISNUMBER(SEARCH($B$1,$A1056&amp;" "&amp;$B1056)),MAX($N$3:N1055)+1,""))</f>
        <v/>
      </c>
    </row>
    <row r="1057" spans="1:14" x14ac:dyDescent="0.25">
      <c r="A1057" s="21" t="s">
        <v>2268</v>
      </c>
      <c r="B1057" s="22" t="s">
        <v>2269</v>
      </c>
      <c r="C1057" s="21"/>
      <c r="N1057" t="str">
        <f>IF($B$1="","",IF(ISNUMBER(SEARCH($B$1,$A1057&amp;" "&amp;$B1057)),MAX($N$3:N1056)+1,""))</f>
        <v/>
      </c>
    </row>
    <row r="1058" spans="1:14" x14ac:dyDescent="0.25">
      <c r="A1058" s="21" t="s">
        <v>2270</v>
      </c>
      <c r="B1058" s="22" t="s">
        <v>2271</v>
      </c>
      <c r="C1058" s="21"/>
      <c r="N1058" t="str">
        <f>IF($B$1="","",IF(ISNUMBER(SEARCH($B$1,$A1058&amp;" "&amp;$B1058)),MAX($N$3:N1057)+1,""))</f>
        <v/>
      </c>
    </row>
    <row r="1059" spans="1:14" x14ac:dyDescent="0.25">
      <c r="A1059" s="21" t="s">
        <v>2272</v>
      </c>
      <c r="B1059" s="22" t="s">
        <v>2273</v>
      </c>
      <c r="C1059" s="21"/>
      <c r="N1059" t="str">
        <f>IF($B$1="","",IF(ISNUMBER(SEARCH($B$1,$A1059&amp;" "&amp;$B1059)),MAX($N$3:N1058)+1,""))</f>
        <v/>
      </c>
    </row>
    <row r="1060" spans="1:14" x14ac:dyDescent="0.25">
      <c r="A1060" s="21" t="s">
        <v>2274</v>
      </c>
      <c r="B1060" s="22" t="s">
        <v>2275</v>
      </c>
      <c r="C1060" s="21"/>
      <c r="N1060" t="str">
        <f>IF($B$1="","",IF(ISNUMBER(SEARCH($B$1,$A1060&amp;" "&amp;$B1060)),MAX($N$3:N1059)+1,""))</f>
        <v/>
      </c>
    </row>
    <row r="1061" spans="1:14" x14ac:dyDescent="0.25">
      <c r="A1061" s="21" t="s">
        <v>2276</v>
      </c>
      <c r="B1061" s="22" t="s">
        <v>2277</v>
      </c>
      <c r="C1061" s="21"/>
      <c r="N1061" t="str">
        <f>IF($B$1="","",IF(ISNUMBER(SEARCH($B$1,$A1061&amp;" "&amp;$B1061)),MAX($N$3:N1060)+1,""))</f>
        <v/>
      </c>
    </row>
    <row r="1062" spans="1:14" x14ac:dyDescent="0.25">
      <c r="A1062" s="21" t="s">
        <v>2278</v>
      </c>
      <c r="B1062" s="22" t="s">
        <v>2279</v>
      </c>
      <c r="C1062" s="21"/>
      <c r="N1062" t="str">
        <f>IF($B$1="","",IF(ISNUMBER(SEARCH($B$1,$A1062&amp;" "&amp;$B1062)),MAX($N$3:N1061)+1,""))</f>
        <v/>
      </c>
    </row>
    <row r="1063" spans="1:14" x14ac:dyDescent="0.25">
      <c r="A1063" s="21" t="s">
        <v>2280</v>
      </c>
      <c r="B1063" s="22" t="s">
        <v>2281</v>
      </c>
      <c r="C1063" s="21"/>
      <c r="N1063" t="str">
        <f>IF($B$1="","",IF(ISNUMBER(SEARCH($B$1,$A1063&amp;" "&amp;$B1063)),MAX($N$3:N1062)+1,""))</f>
        <v/>
      </c>
    </row>
    <row r="1064" spans="1:14" x14ac:dyDescent="0.25">
      <c r="A1064" s="21" t="s">
        <v>2282</v>
      </c>
      <c r="B1064" s="22" t="s">
        <v>2283</v>
      </c>
      <c r="C1064" s="21"/>
      <c r="N1064" t="str">
        <f>IF($B$1="","",IF(ISNUMBER(SEARCH($B$1,$A1064&amp;" "&amp;$B1064)),MAX($N$3:N1063)+1,""))</f>
        <v/>
      </c>
    </row>
    <row r="1065" spans="1:14" x14ac:dyDescent="0.25">
      <c r="A1065" s="21" t="s">
        <v>2284</v>
      </c>
      <c r="B1065" s="22" t="s">
        <v>2285</v>
      </c>
      <c r="C1065" s="21"/>
      <c r="N1065" t="str">
        <f>IF($B$1="","",IF(ISNUMBER(SEARCH($B$1,$A1065&amp;" "&amp;$B1065)),MAX($N$3:N1064)+1,""))</f>
        <v/>
      </c>
    </row>
    <row r="1066" spans="1:14" x14ac:dyDescent="0.25">
      <c r="A1066" s="21" t="s">
        <v>2286</v>
      </c>
      <c r="B1066" s="22" t="s">
        <v>2287</v>
      </c>
      <c r="C1066" s="21"/>
      <c r="N1066" t="str">
        <f>IF($B$1="","",IF(ISNUMBER(SEARCH($B$1,$A1066&amp;" "&amp;$B1066)),MAX($N$3:N1065)+1,""))</f>
        <v/>
      </c>
    </row>
    <row r="1067" spans="1:14" x14ac:dyDescent="0.25">
      <c r="A1067" s="21" t="s">
        <v>2288</v>
      </c>
      <c r="B1067" s="22" t="s">
        <v>2289</v>
      </c>
      <c r="C1067" s="21"/>
      <c r="N1067" t="str">
        <f>IF($B$1="","",IF(ISNUMBER(SEARCH($B$1,$A1067&amp;" "&amp;$B1067)),MAX($N$3:N1066)+1,""))</f>
        <v/>
      </c>
    </row>
    <row r="1068" spans="1:14" x14ac:dyDescent="0.25">
      <c r="A1068" s="21" t="s">
        <v>2290</v>
      </c>
      <c r="B1068" s="22" t="s">
        <v>2291</v>
      </c>
      <c r="C1068" s="21"/>
      <c r="N1068" t="str">
        <f>IF($B$1="","",IF(ISNUMBER(SEARCH($B$1,$A1068&amp;" "&amp;$B1068)),MAX($N$3:N1067)+1,""))</f>
        <v/>
      </c>
    </row>
    <row r="1069" spans="1:14" x14ac:dyDescent="0.25">
      <c r="A1069" s="21" t="s">
        <v>2292</v>
      </c>
      <c r="B1069" s="22" t="s">
        <v>2293</v>
      </c>
      <c r="C1069" s="21"/>
      <c r="N1069" t="str">
        <f>IF($B$1="","",IF(ISNUMBER(SEARCH($B$1,$A1069&amp;" "&amp;$B1069)),MAX($N$3:N1068)+1,""))</f>
        <v/>
      </c>
    </row>
    <row r="1070" spans="1:14" x14ac:dyDescent="0.25">
      <c r="A1070" s="21" t="s">
        <v>2294</v>
      </c>
      <c r="B1070" s="22" t="s">
        <v>2295</v>
      </c>
      <c r="C1070" s="21"/>
      <c r="N1070" t="str">
        <f>IF($B$1="","",IF(ISNUMBER(SEARCH($B$1,$A1070&amp;" "&amp;$B1070)),MAX($N$3:N1069)+1,""))</f>
        <v/>
      </c>
    </row>
    <row r="1071" spans="1:14" x14ac:dyDescent="0.25">
      <c r="A1071" s="21" t="s">
        <v>2296</v>
      </c>
      <c r="B1071" s="22" t="s">
        <v>2297</v>
      </c>
      <c r="C1071" s="21"/>
      <c r="N1071" t="str">
        <f>IF($B$1="","",IF(ISNUMBER(SEARCH($B$1,$A1071&amp;" "&amp;$B1071)),MAX($N$3:N1070)+1,""))</f>
        <v/>
      </c>
    </row>
    <row r="1072" spans="1:14" x14ac:dyDescent="0.25">
      <c r="A1072" s="21" t="s">
        <v>2298</v>
      </c>
      <c r="B1072" s="22" t="s">
        <v>2299</v>
      </c>
      <c r="C1072" s="21"/>
      <c r="N1072" t="str">
        <f>IF($B$1="","",IF(ISNUMBER(SEARCH($B$1,$A1072&amp;" "&amp;$B1072)),MAX($N$3:N1071)+1,""))</f>
        <v/>
      </c>
    </row>
    <row r="1073" spans="1:14" x14ac:dyDescent="0.25">
      <c r="A1073" s="21" t="s">
        <v>2300</v>
      </c>
      <c r="B1073" s="22" t="s">
        <v>2301</v>
      </c>
      <c r="C1073" s="21"/>
      <c r="N1073" t="str">
        <f>IF($B$1="","",IF(ISNUMBER(SEARCH($B$1,$A1073&amp;" "&amp;$B1073)),MAX($N$3:N1072)+1,""))</f>
        <v/>
      </c>
    </row>
    <row r="1074" spans="1:14" x14ac:dyDescent="0.25">
      <c r="A1074" s="21" t="s">
        <v>2302</v>
      </c>
      <c r="B1074" s="22" t="s">
        <v>2303</v>
      </c>
      <c r="C1074" s="21"/>
      <c r="N1074" t="str">
        <f>IF($B$1="","",IF(ISNUMBER(SEARCH($B$1,$A1074&amp;" "&amp;$B1074)),MAX($N$3:N1073)+1,""))</f>
        <v/>
      </c>
    </row>
    <row r="1075" spans="1:14" x14ac:dyDescent="0.25">
      <c r="A1075" s="21" t="s">
        <v>2304</v>
      </c>
      <c r="B1075" s="22" t="s">
        <v>2305</v>
      </c>
      <c r="C1075" s="21"/>
      <c r="N1075" t="str">
        <f>IF($B$1="","",IF(ISNUMBER(SEARCH($B$1,$A1075&amp;" "&amp;$B1075)),MAX($N$3:N1074)+1,""))</f>
        <v/>
      </c>
    </row>
    <row r="1076" spans="1:14" x14ac:dyDescent="0.25">
      <c r="A1076" s="21" t="s">
        <v>2306</v>
      </c>
      <c r="B1076" s="22" t="s">
        <v>2307</v>
      </c>
      <c r="C1076" s="21"/>
      <c r="N1076" t="str">
        <f>IF($B$1="","",IF(ISNUMBER(SEARCH($B$1,$A1076&amp;" "&amp;$B1076)),MAX($N$3:N1075)+1,""))</f>
        <v/>
      </c>
    </row>
    <row r="1077" spans="1:14" x14ac:dyDescent="0.25">
      <c r="A1077" s="21" t="s">
        <v>2308</v>
      </c>
      <c r="B1077" s="22" t="s">
        <v>2309</v>
      </c>
      <c r="C1077" s="21"/>
      <c r="N1077" t="str">
        <f>IF($B$1="","",IF(ISNUMBER(SEARCH($B$1,$A1077&amp;" "&amp;$B1077)),MAX($N$3:N1076)+1,""))</f>
        <v/>
      </c>
    </row>
    <row r="1078" spans="1:14" x14ac:dyDescent="0.25">
      <c r="A1078" s="21" t="s">
        <v>2310</v>
      </c>
      <c r="B1078" s="22" t="s">
        <v>2311</v>
      </c>
      <c r="C1078" s="21"/>
      <c r="N1078" t="str">
        <f>IF($B$1="","",IF(ISNUMBER(SEARCH($B$1,$A1078&amp;" "&amp;$B1078)),MAX($N$3:N1077)+1,""))</f>
        <v/>
      </c>
    </row>
    <row r="1079" spans="1:14" x14ac:dyDescent="0.25">
      <c r="A1079" s="21" t="s">
        <v>2312</v>
      </c>
      <c r="B1079" s="22" t="s">
        <v>2313</v>
      </c>
      <c r="C1079" s="21"/>
      <c r="N1079" t="str">
        <f>IF($B$1="","",IF(ISNUMBER(SEARCH($B$1,$A1079&amp;" "&amp;$B1079)),MAX($N$3:N1078)+1,""))</f>
        <v/>
      </c>
    </row>
    <row r="1080" spans="1:14" x14ac:dyDescent="0.25">
      <c r="A1080" s="21" t="s">
        <v>2314</v>
      </c>
      <c r="B1080" s="22" t="s">
        <v>2315</v>
      </c>
      <c r="C1080" s="21"/>
      <c r="N1080" t="str">
        <f>IF($B$1="","",IF(ISNUMBER(SEARCH($B$1,$A1080&amp;" "&amp;$B1080)),MAX($N$3:N1079)+1,""))</f>
        <v/>
      </c>
    </row>
    <row r="1081" spans="1:14" x14ac:dyDescent="0.25">
      <c r="A1081" s="21" t="s">
        <v>2316</v>
      </c>
      <c r="B1081" s="22" t="s">
        <v>2317</v>
      </c>
      <c r="C1081" s="21"/>
      <c r="N1081" t="str">
        <f>IF($B$1="","",IF(ISNUMBER(SEARCH($B$1,$A1081&amp;" "&amp;$B1081)),MAX($N$3:N1080)+1,""))</f>
        <v/>
      </c>
    </row>
    <row r="1082" spans="1:14" x14ac:dyDescent="0.25">
      <c r="A1082" s="21" t="s">
        <v>2318</v>
      </c>
      <c r="B1082" s="22" t="s">
        <v>2319</v>
      </c>
      <c r="C1082" s="21"/>
      <c r="N1082" t="str">
        <f>IF($B$1="","",IF(ISNUMBER(SEARCH($B$1,$A1082&amp;" "&amp;$B1082)),MAX($N$3:N1081)+1,""))</f>
        <v/>
      </c>
    </row>
    <row r="1083" spans="1:14" x14ac:dyDescent="0.25">
      <c r="A1083" s="21" t="s">
        <v>2320</v>
      </c>
      <c r="B1083" s="22" t="s">
        <v>2321</v>
      </c>
      <c r="C1083" s="21"/>
      <c r="N1083" t="str">
        <f>IF($B$1="","",IF(ISNUMBER(SEARCH($B$1,$A1083&amp;" "&amp;$B1083)),MAX($N$3:N1082)+1,""))</f>
        <v/>
      </c>
    </row>
    <row r="1084" spans="1:14" x14ac:dyDescent="0.25">
      <c r="A1084" s="21" t="s">
        <v>2322</v>
      </c>
      <c r="B1084" s="22" t="s">
        <v>2323</v>
      </c>
      <c r="C1084" s="21"/>
      <c r="N1084" t="str">
        <f>IF($B$1="","",IF(ISNUMBER(SEARCH($B$1,$A1084&amp;" "&amp;$B1084)),MAX($N$3:N1083)+1,""))</f>
        <v/>
      </c>
    </row>
    <row r="1085" spans="1:14" x14ac:dyDescent="0.25">
      <c r="A1085" s="21" t="s">
        <v>2324</v>
      </c>
      <c r="B1085" s="22" t="s">
        <v>2325</v>
      </c>
      <c r="C1085" s="21"/>
      <c r="N1085" t="str">
        <f>IF($B$1="","",IF(ISNUMBER(SEARCH($B$1,$A1085&amp;" "&amp;$B1085)),MAX($N$3:N1084)+1,""))</f>
        <v/>
      </c>
    </row>
    <row r="1086" spans="1:14" x14ac:dyDescent="0.25">
      <c r="A1086" s="21" t="s">
        <v>2326</v>
      </c>
      <c r="B1086" s="22" t="s">
        <v>2327</v>
      </c>
      <c r="C1086" s="21"/>
      <c r="N1086" t="str">
        <f>IF($B$1="","",IF(ISNUMBER(SEARCH($B$1,$A1086&amp;" "&amp;$B1086)),MAX($N$3:N1085)+1,""))</f>
        <v/>
      </c>
    </row>
    <row r="1087" spans="1:14" x14ac:dyDescent="0.25">
      <c r="A1087" s="21" t="s">
        <v>2328</v>
      </c>
      <c r="B1087" s="22" t="s">
        <v>2329</v>
      </c>
      <c r="C1087" s="21"/>
      <c r="N1087" t="str">
        <f>IF($B$1="","",IF(ISNUMBER(SEARCH($B$1,$A1087&amp;" "&amp;$B1087)),MAX($N$3:N1086)+1,""))</f>
        <v/>
      </c>
    </row>
    <row r="1088" spans="1:14" x14ac:dyDescent="0.25">
      <c r="A1088" s="21" t="s">
        <v>2330</v>
      </c>
      <c r="B1088" s="22" t="s">
        <v>2331</v>
      </c>
      <c r="C1088" s="21"/>
      <c r="N1088" t="str">
        <f>IF($B$1="","",IF(ISNUMBER(SEARCH($B$1,$A1088&amp;" "&amp;$B1088)),MAX($N$3:N1087)+1,""))</f>
        <v/>
      </c>
    </row>
    <row r="1089" spans="1:14" x14ac:dyDescent="0.25">
      <c r="A1089" s="21" t="s">
        <v>2332</v>
      </c>
      <c r="B1089" s="22" t="s">
        <v>2333</v>
      </c>
      <c r="C1089" s="21"/>
      <c r="N1089" t="str">
        <f>IF($B$1="","",IF(ISNUMBER(SEARCH($B$1,$A1089&amp;" "&amp;$B1089)),MAX($N$3:N1088)+1,""))</f>
        <v/>
      </c>
    </row>
    <row r="1090" spans="1:14" x14ac:dyDescent="0.25">
      <c r="A1090" s="21" t="s">
        <v>2334</v>
      </c>
      <c r="B1090" s="22" t="s">
        <v>2335</v>
      </c>
      <c r="C1090" s="21"/>
      <c r="N1090" t="str">
        <f>IF($B$1="","",IF(ISNUMBER(SEARCH($B$1,$A1090&amp;" "&amp;$B1090)),MAX($N$3:N1089)+1,""))</f>
        <v/>
      </c>
    </row>
    <row r="1091" spans="1:14" x14ac:dyDescent="0.25">
      <c r="A1091" s="21" t="s">
        <v>2336</v>
      </c>
      <c r="B1091" s="22" t="s">
        <v>2337</v>
      </c>
      <c r="C1091" s="21"/>
      <c r="N1091" t="str">
        <f>IF($B$1="","",IF(ISNUMBER(SEARCH($B$1,$A1091&amp;" "&amp;$B1091)),MAX($N$3:N1090)+1,""))</f>
        <v/>
      </c>
    </row>
    <row r="1092" spans="1:14" x14ac:dyDescent="0.25">
      <c r="A1092" s="21" t="s">
        <v>2338</v>
      </c>
      <c r="B1092" s="22" t="s">
        <v>2339</v>
      </c>
      <c r="C1092" s="21"/>
      <c r="N1092" t="str">
        <f>IF($B$1="","",IF(ISNUMBER(SEARCH($B$1,$A1092&amp;" "&amp;$B1092)),MAX($N$3:N1091)+1,""))</f>
        <v/>
      </c>
    </row>
    <row r="1093" spans="1:14" x14ac:dyDescent="0.25">
      <c r="A1093" s="21" t="s">
        <v>2340</v>
      </c>
      <c r="B1093" s="22" t="s">
        <v>2341</v>
      </c>
      <c r="C1093" s="21"/>
      <c r="N1093" t="str">
        <f>IF($B$1="","",IF(ISNUMBER(SEARCH($B$1,$A1093&amp;" "&amp;$B1093)),MAX($N$3:N1092)+1,""))</f>
        <v/>
      </c>
    </row>
    <row r="1094" spans="1:14" x14ac:dyDescent="0.25">
      <c r="A1094" s="21" t="s">
        <v>2342</v>
      </c>
      <c r="B1094" s="22" t="s">
        <v>2343</v>
      </c>
      <c r="C1094" s="21"/>
      <c r="N1094" t="str">
        <f>IF($B$1="","",IF(ISNUMBER(SEARCH($B$1,$A1094&amp;" "&amp;$B1094)),MAX($N$3:N1093)+1,""))</f>
        <v/>
      </c>
    </row>
    <row r="1095" spans="1:14" x14ac:dyDescent="0.25">
      <c r="A1095" s="21" t="s">
        <v>2344</v>
      </c>
      <c r="B1095" s="22" t="s">
        <v>2345</v>
      </c>
      <c r="C1095" s="21"/>
      <c r="N1095" t="str">
        <f>IF($B$1="","",IF(ISNUMBER(SEARCH($B$1,$A1095&amp;" "&amp;$B1095)),MAX($N$3:N1094)+1,""))</f>
        <v/>
      </c>
    </row>
    <row r="1096" spans="1:14" x14ac:dyDescent="0.25">
      <c r="A1096" s="21" t="s">
        <v>2346</v>
      </c>
      <c r="B1096" s="22" t="s">
        <v>2347</v>
      </c>
      <c r="C1096" s="21"/>
      <c r="N1096" t="str">
        <f>IF($B$1="","",IF(ISNUMBER(SEARCH($B$1,$A1096&amp;" "&amp;$B1096)),MAX($N$3:N1095)+1,""))</f>
        <v/>
      </c>
    </row>
    <row r="1097" spans="1:14" x14ac:dyDescent="0.25">
      <c r="A1097" s="21" t="s">
        <v>2348</v>
      </c>
      <c r="B1097" s="22" t="s">
        <v>2349</v>
      </c>
      <c r="C1097" s="21"/>
      <c r="N1097" t="str">
        <f>IF($B$1="","",IF(ISNUMBER(SEARCH($B$1,$A1097&amp;" "&amp;$B1097)),MAX($N$3:N1096)+1,""))</f>
        <v/>
      </c>
    </row>
    <row r="1098" spans="1:14" x14ac:dyDescent="0.25">
      <c r="A1098" s="21" t="s">
        <v>2350</v>
      </c>
      <c r="B1098" s="22" t="s">
        <v>2351</v>
      </c>
      <c r="C1098" s="21"/>
      <c r="N1098" t="str">
        <f>IF($B$1="","",IF(ISNUMBER(SEARCH($B$1,$A1098&amp;" "&amp;$B1098)),MAX($N$3:N1097)+1,""))</f>
        <v/>
      </c>
    </row>
    <row r="1099" spans="1:14" x14ac:dyDescent="0.25">
      <c r="A1099" s="21" t="s">
        <v>2352</v>
      </c>
      <c r="B1099" s="22" t="s">
        <v>2353</v>
      </c>
      <c r="C1099" s="21"/>
      <c r="N1099" t="str">
        <f>IF($B$1="","",IF(ISNUMBER(SEARCH($B$1,$A1099&amp;" "&amp;$B1099)),MAX($N$3:N1098)+1,""))</f>
        <v/>
      </c>
    </row>
    <row r="1100" spans="1:14" x14ac:dyDescent="0.25">
      <c r="A1100" s="21" t="s">
        <v>2354</v>
      </c>
      <c r="B1100" s="22" t="s">
        <v>2355</v>
      </c>
      <c r="C1100" s="21"/>
      <c r="N1100" t="str">
        <f>IF($B$1="","",IF(ISNUMBER(SEARCH($B$1,$A1100&amp;" "&amp;$B1100)),MAX($N$3:N1099)+1,""))</f>
        <v/>
      </c>
    </row>
    <row r="1101" spans="1:14" x14ac:dyDescent="0.25">
      <c r="A1101" s="21" t="s">
        <v>2356</v>
      </c>
      <c r="B1101" s="22" t="s">
        <v>2357</v>
      </c>
      <c r="C1101" s="21"/>
      <c r="N1101" t="str">
        <f>IF($B$1="","",IF(ISNUMBER(SEARCH($B$1,$A1101&amp;" "&amp;$B1101)),MAX($N$3:N1100)+1,""))</f>
        <v/>
      </c>
    </row>
    <row r="1102" spans="1:14" x14ac:dyDescent="0.25">
      <c r="A1102" s="21" t="s">
        <v>2358</v>
      </c>
      <c r="B1102" s="22" t="s">
        <v>2359</v>
      </c>
      <c r="C1102" s="21"/>
      <c r="N1102" t="str">
        <f>IF($B$1="","",IF(ISNUMBER(SEARCH($B$1,$A1102&amp;" "&amp;$B1102)),MAX($N$3:N1101)+1,""))</f>
        <v/>
      </c>
    </row>
    <row r="1103" spans="1:14" x14ac:dyDescent="0.25">
      <c r="A1103" s="21" t="s">
        <v>2360</v>
      </c>
      <c r="B1103" s="22" t="s">
        <v>2361</v>
      </c>
      <c r="C1103" s="21"/>
      <c r="N1103" t="str">
        <f>IF($B$1="","",IF(ISNUMBER(SEARCH($B$1,$A1103&amp;" "&amp;$B1103)),MAX($N$3:N1102)+1,""))</f>
        <v/>
      </c>
    </row>
    <row r="1104" spans="1:14" x14ac:dyDescent="0.25">
      <c r="A1104" s="21" t="s">
        <v>2362</v>
      </c>
      <c r="B1104" s="22" t="s">
        <v>2363</v>
      </c>
      <c r="C1104" s="21"/>
      <c r="N1104" t="str">
        <f>IF($B$1="","",IF(ISNUMBER(SEARCH($B$1,$A1104&amp;" "&amp;$B1104)),MAX($N$3:N1103)+1,""))</f>
        <v/>
      </c>
    </row>
    <row r="1105" spans="1:14" x14ac:dyDescent="0.25">
      <c r="A1105" s="21" t="s">
        <v>2364</v>
      </c>
      <c r="B1105" s="22" t="s">
        <v>2365</v>
      </c>
      <c r="C1105" s="21"/>
      <c r="N1105" t="str">
        <f>IF($B$1="","",IF(ISNUMBER(SEARCH($B$1,$A1105&amp;" "&amp;$B1105)),MAX($N$3:N1104)+1,""))</f>
        <v/>
      </c>
    </row>
    <row r="1106" spans="1:14" x14ac:dyDescent="0.25">
      <c r="A1106" s="21" t="s">
        <v>2366</v>
      </c>
      <c r="B1106" s="22" t="s">
        <v>2367</v>
      </c>
      <c r="C1106" s="21"/>
      <c r="N1106" t="str">
        <f>IF($B$1="","",IF(ISNUMBER(SEARCH($B$1,$A1106&amp;" "&amp;$B1106)),MAX($N$3:N1105)+1,""))</f>
        <v/>
      </c>
    </row>
    <row r="1107" spans="1:14" x14ac:dyDescent="0.25">
      <c r="A1107" s="21" t="s">
        <v>2368</v>
      </c>
      <c r="B1107" s="22" t="s">
        <v>2369</v>
      </c>
      <c r="C1107" s="21"/>
      <c r="N1107" t="str">
        <f>IF($B$1="","",IF(ISNUMBER(SEARCH($B$1,$A1107&amp;" "&amp;$B1107)),MAX($N$3:N1106)+1,""))</f>
        <v/>
      </c>
    </row>
    <row r="1108" spans="1:14" x14ac:dyDescent="0.25">
      <c r="A1108" s="21" t="s">
        <v>2370</v>
      </c>
      <c r="B1108" s="22" t="s">
        <v>2371</v>
      </c>
      <c r="C1108" s="21"/>
      <c r="N1108" t="str">
        <f>IF($B$1="","",IF(ISNUMBER(SEARCH($B$1,$A1108&amp;" "&amp;$B1108)),MAX($N$3:N1107)+1,""))</f>
        <v/>
      </c>
    </row>
    <row r="1109" spans="1:14" x14ac:dyDescent="0.25">
      <c r="A1109" s="21" t="s">
        <v>2372</v>
      </c>
      <c r="B1109" s="22" t="s">
        <v>2373</v>
      </c>
      <c r="C1109" s="21"/>
      <c r="N1109" t="str">
        <f>IF($B$1="","",IF(ISNUMBER(SEARCH($B$1,$A1109&amp;" "&amp;$B1109)),MAX($N$3:N1108)+1,""))</f>
        <v/>
      </c>
    </row>
    <row r="1110" spans="1:14" x14ac:dyDescent="0.25">
      <c r="A1110" s="21" t="s">
        <v>2374</v>
      </c>
      <c r="B1110" s="22" t="s">
        <v>2375</v>
      </c>
      <c r="C1110" s="21"/>
      <c r="N1110" t="str">
        <f>IF($B$1="","",IF(ISNUMBER(SEARCH($B$1,$A1110&amp;" "&amp;$B1110)),MAX($N$3:N1109)+1,""))</f>
        <v/>
      </c>
    </row>
    <row r="1111" spans="1:14" x14ac:dyDescent="0.25">
      <c r="A1111" s="21" t="s">
        <v>2376</v>
      </c>
      <c r="B1111" s="22" t="s">
        <v>2377</v>
      </c>
      <c r="C1111" s="21"/>
      <c r="N1111" t="str">
        <f>IF($B$1="","",IF(ISNUMBER(SEARCH($B$1,$A1111&amp;" "&amp;$B1111)),MAX($N$3:N1110)+1,""))</f>
        <v/>
      </c>
    </row>
    <row r="1112" spans="1:14" x14ac:dyDescent="0.25">
      <c r="A1112" s="21" t="s">
        <v>2378</v>
      </c>
      <c r="B1112" s="22" t="s">
        <v>2379</v>
      </c>
      <c r="C1112" s="21"/>
      <c r="N1112" t="str">
        <f>IF($B$1="","",IF(ISNUMBER(SEARCH($B$1,$A1112&amp;" "&amp;$B1112)),MAX($N$3:N1111)+1,""))</f>
        <v/>
      </c>
    </row>
    <row r="1113" spans="1:14" x14ac:dyDescent="0.25">
      <c r="A1113" s="21" t="s">
        <v>2380</v>
      </c>
      <c r="B1113" s="22" t="s">
        <v>2381</v>
      </c>
      <c r="C1113" s="21"/>
      <c r="N1113" t="str">
        <f>IF($B$1="","",IF(ISNUMBER(SEARCH($B$1,$A1113&amp;" "&amp;$B1113)),MAX($N$3:N1112)+1,""))</f>
        <v/>
      </c>
    </row>
    <row r="1114" spans="1:14" x14ac:dyDescent="0.25">
      <c r="A1114" s="21" t="s">
        <v>2382</v>
      </c>
      <c r="B1114" s="22" t="s">
        <v>2383</v>
      </c>
      <c r="C1114" s="21"/>
      <c r="N1114" t="str">
        <f>IF($B$1="","",IF(ISNUMBER(SEARCH($B$1,$A1114&amp;" "&amp;$B1114)),MAX($N$3:N1113)+1,""))</f>
        <v/>
      </c>
    </row>
    <row r="1115" spans="1:14" x14ac:dyDescent="0.25">
      <c r="A1115" s="21" t="s">
        <v>2384</v>
      </c>
      <c r="B1115" s="22" t="s">
        <v>2385</v>
      </c>
      <c r="C1115" s="21"/>
      <c r="N1115" t="str">
        <f>IF($B$1="","",IF(ISNUMBER(SEARCH($B$1,$A1115&amp;" "&amp;$B1115)),MAX($N$3:N1114)+1,""))</f>
        <v/>
      </c>
    </row>
    <row r="1116" spans="1:14" x14ac:dyDescent="0.25">
      <c r="A1116" s="21" t="s">
        <v>2386</v>
      </c>
      <c r="B1116" s="22" t="s">
        <v>2387</v>
      </c>
      <c r="C1116" s="21"/>
      <c r="N1116" t="str">
        <f>IF($B$1="","",IF(ISNUMBER(SEARCH($B$1,$A1116&amp;" "&amp;$B1116)),MAX($N$3:N1115)+1,""))</f>
        <v/>
      </c>
    </row>
    <row r="1117" spans="1:14" x14ac:dyDescent="0.25">
      <c r="A1117" s="21" t="s">
        <v>2388</v>
      </c>
      <c r="B1117" s="22" t="s">
        <v>2389</v>
      </c>
      <c r="C1117" s="21"/>
      <c r="N1117" t="str">
        <f>IF($B$1="","",IF(ISNUMBER(SEARCH($B$1,$A1117&amp;" "&amp;$B1117)),MAX($N$3:N1116)+1,""))</f>
        <v/>
      </c>
    </row>
    <row r="1118" spans="1:14" x14ac:dyDescent="0.25">
      <c r="A1118" s="21" t="s">
        <v>2390</v>
      </c>
      <c r="B1118" s="22" t="s">
        <v>2391</v>
      </c>
      <c r="C1118" s="21"/>
      <c r="N1118" t="str">
        <f>IF($B$1="","",IF(ISNUMBER(SEARCH($B$1,$A1118&amp;" "&amp;$B1118)),MAX($N$3:N1117)+1,""))</f>
        <v/>
      </c>
    </row>
    <row r="1119" spans="1:14" x14ac:dyDescent="0.25">
      <c r="A1119" s="21" t="s">
        <v>2392</v>
      </c>
      <c r="B1119" s="22" t="s">
        <v>2393</v>
      </c>
      <c r="C1119" s="21"/>
      <c r="N1119" t="str">
        <f>IF($B$1="","",IF(ISNUMBER(SEARCH($B$1,$A1119&amp;" "&amp;$B1119)),MAX($N$3:N1118)+1,""))</f>
        <v/>
      </c>
    </row>
    <row r="1120" spans="1:14" x14ac:dyDescent="0.25">
      <c r="A1120" s="21" t="s">
        <v>2394</v>
      </c>
      <c r="B1120" s="22" t="s">
        <v>2395</v>
      </c>
      <c r="C1120" s="21"/>
      <c r="N1120" t="str">
        <f>IF($B$1="","",IF(ISNUMBER(SEARCH($B$1,$A1120&amp;" "&amp;$B1120)),MAX($N$3:N1119)+1,""))</f>
        <v/>
      </c>
    </row>
    <row r="1121" spans="1:14" x14ac:dyDescent="0.25">
      <c r="A1121" s="21" t="s">
        <v>2396</v>
      </c>
      <c r="B1121" s="22" t="s">
        <v>2397</v>
      </c>
      <c r="C1121" s="21"/>
      <c r="N1121" t="str">
        <f>IF($B$1="","",IF(ISNUMBER(SEARCH($B$1,$A1121&amp;" "&amp;$B1121)),MAX($N$3:N1120)+1,""))</f>
        <v/>
      </c>
    </row>
    <row r="1122" spans="1:14" x14ac:dyDescent="0.25">
      <c r="A1122" s="21" t="s">
        <v>2398</v>
      </c>
      <c r="B1122" s="22" t="s">
        <v>2399</v>
      </c>
      <c r="C1122" s="21"/>
      <c r="N1122" t="str">
        <f>IF($B$1="","",IF(ISNUMBER(SEARCH($B$1,$A1122&amp;" "&amp;$B1122)),MAX($N$3:N1121)+1,""))</f>
        <v/>
      </c>
    </row>
    <row r="1123" spans="1:14" x14ac:dyDescent="0.25">
      <c r="A1123" s="21" t="s">
        <v>2400</v>
      </c>
      <c r="B1123" s="22" t="s">
        <v>2401</v>
      </c>
      <c r="C1123" s="21"/>
      <c r="N1123" t="str">
        <f>IF($B$1="","",IF(ISNUMBER(SEARCH($B$1,$A1123&amp;" "&amp;$B1123)),MAX($N$3:N1122)+1,""))</f>
        <v/>
      </c>
    </row>
    <row r="1124" spans="1:14" x14ac:dyDescent="0.25">
      <c r="A1124" s="21" t="s">
        <v>2402</v>
      </c>
      <c r="B1124" s="22" t="s">
        <v>2403</v>
      </c>
      <c r="C1124" s="21"/>
      <c r="N1124" t="str">
        <f>IF($B$1="","",IF(ISNUMBER(SEARCH($B$1,$A1124&amp;" "&amp;$B1124)),MAX($N$3:N1123)+1,""))</f>
        <v/>
      </c>
    </row>
    <row r="1125" spans="1:14" x14ac:dyDescent="0.25">
      <c r="A1125" s="21" t="s">
        <v>2404</v>
      </c>
      <c r="B1125" s="22" t="s">
        <v>2405</v>
      </c>
      <c r="C1125" s="21"/>
      <c r="N1125" t="str">
        <f>IF($B$1="","",IF(ISNUMBER(SEARCH($B$1,$A1125&amp;" "&amp;$B1125)),MAX($N$3:N1124)+1,""))</f>
        <v/>
      </c>
    </row>
    <row r="1126" spans="1:14" x14ac:dyDescent="0.25">
      <c r="A1126" s="21" t="s">
        <v>2406</v>
      </c>
      <c r="B1126" s="22" t="s">
        <v>2407</v>
      </c>
      <c r="C1126" s="21"/>
      <c r="N1126" t="str">
        <f>IF($B$1="","",IF(ISNUMBER(SEARCH($B$1,$A1126&amp;" "&amp;$B1126)),MAX($N$3:N1125)+1,""))</f>
        <v/>
      </c>
    </row>
    <row r="1127" spans="1:14" x14ac:dyDescent="0.25">
      <c r="A1127" s="21" t="s">
        <v>2408</v>
      </c>
      <c r="B1127" s="22" t="s">
        <v>2409</v>
      </c>
      <c r="C1127" s="21"/>
      <c r="N1127" t="str">
        <f>IF($B$1="","",IF(ISNUMBER(SEARCH($B$1,$A1127&amp;" "&amp;$B1127)),MAX($N$3:N1126)+1,""))</f>
        <v/>
      </c>
    </row>
    <row r="1128" spans="1:14" x14ac:dyDescent="0.25">
      <c r="A1128" s="21" t="s">
        <v>2410</v>
      </c>
      <c r="B1128" s="22" t="s">
        <v>2411</v>
      </c>
      <c r="C1128" s="21"/>
      <c r="N1128" t="str">
        <f>IF($B$1="","",IF(ISNUMBER(SEARCH($B$1,$A1128&amp;" "&amp;$B1128)),MAX($N$3:N1127)+1,""))</f>
        <v/>
      </c>
    </row>
    <row r="1129" spans="1:14" x14ac:dyDescent="0.25">
      <c r="A1129" s="21" t="s">
        <v>2412</v>
      </c>
      <c r="B1129" s="22" t="s">
        <v>2413</v>
      </c>
      <c r="C1129" s="21"/>
      <c r="N1129" t="str">
        <f>IF($B$1="","",IF(ISNUMBER(SEARCH($B$1,$A1129&amp;" "&amp;$B1129)),MAX($N$3:N1128)+1,""))</f>
        <v/>
      </c>
    </row>
    <row r="1130" spans="1:14" x14ac:dyDescent="0.25">
      <c r="A1130" s="21" t="s">
        <v>2414</v>
      </c>
      <c r="B1130" s="22" t="s">
        <v>2415</v>
      </c>
      <c r="C1130" s="21"/>
      <c r="N1130" t="str">
        <f>IF($B$1="","",IF(ISNUMBER(SEARCH($B$1,$A1130&amp;" "&amp;$B1130)),MAX($N$3:N1129)+1,""))</f>
        <v/>
      </c>
    </row>
    <row r="1131" spans="1:14" x14ac:dyDescent="0.25">
      <c r="A1131" s="21" t="s">
        <v>2416</v>
      </c>
      <c r="B1131" s="22" t="s">
        <v>2417</v>
      </c>
      <c r="C1131" s="21"/>
      <c r="N1131" t="str">
        <f>IF($B$1="","",IF(ISNUMBER(SEARCH($B$1,$A1131&amp;" "&amp;$B1131)),MAX($N$3:N1130)+1,""))</f>
        <v/>
      </c>
    </row>
    <row r="1132" spans="1:14" x14ac:dyDescent="0.25">
      <c r="A1132" s="21" t="s">
        <v>2418</v>
      </c>
      <c r="B1132" s="22" t="s">
        <v>2419</v>
      </c>
      <c r="C1132" s="21"/>
      <c r="N1132" t="str">
        <f>IF($B$1="","",IF(ISNUMBER(SEARCH($B$1,$A1132&amp;" "&amp;$B1132)),MAX($N$3:N1131)+1,""))</f>
        <v/>
      </c>
    </row>
    <row r="1133" spans="1:14" x14ac:dyDescent="0.25">
      <c r="A1133" s="21" t="s">
        <v>2420</v>
      </c>
      <c r="B1133" s="22" t="s">
        <v>2421</v>
      </c>
      <c r="C1133" s="21"/>
      <c r="N1133" t="str">
        <f>IF($B$1="","",IF(ISNUMBER(SEARCH($B$1,$A1133&amp;" "&amp;$B1133)),MAX($N$3:N1132)+1,""))</f>
        <v/>
      </c>
    </row>
    <row r="1134" spans="1:14" x14ac:dyDescent="0.25">
      <c r="A1134" s="21" t="s">
        <v>2422</v>
      </c>
      <c r="B1134" s="22" t="s">
        <v>13</v>
      </c>
      <c r="C1134" s="21"/>
      <c r="N1134" t="str">
        <f>IF($B$1="","",IF(ISNUMBER(SEARCH($B$1,$A1134&amp;" "&amp;$B1134)),MAX($N$3:N1133)+1,""))</f>
        <v/>
      </c>
    </row>
    <row r="1135" spans="1:14" x14ac:dyDescent="0.25">
      <c r="A1135" s="21" t="s">
        <v>2423</v>
      </c>
      <c r="B1135" s="22" t="s">
        <v>2424</v>
      </c>
      <c r="C1135" s="21"/>
      <c r="N1135" t="str">
        <f>IF($B$1="","",IF(ISNUMBER(SEARCH($B$1,$A1135&amp;" "&amp;$B1135)),MAX($N$3:N1134)+1,""))</f>
        <v/>
      </c>
    </row>
    <row r="1136" spans="1:14" x14ac:dyDescent="0.25">
      <c r="A1136" s="21" t="s">
        <v>2425</v>
      </c>
      <c r="B1136" s="22" t="s">
        <v>2426</v>
      </c>
      <c r="C1136" s="21"/>
      <c r="N1136" t="str">
        <f>IF($B$1="","",IF(ISNUMBER(SEARCH($B$1,$A1136&amp;" "&amp;$B1136)),MAX($N$3:N1135)+1,""))</f>
        <v/>
      </c>
    </row>
    <row r="1137" spans="1:14" x14ac:dyDescent="0.25">
      <c r="A1137" s="21" t="s">
        <v>2427</v>
      </c>
      <c r="B1137" s="22" t="s">
        <v>2428</v>
      </c>
      <c r="C1137" s="21"/>
      <c r="N1137" t="str">
        <f>IF($B$1="","",IF(ISNUMBER(SEARCH($B$1,$A1137&amp;" "&amp;$B1137)),MAX($N$3:N1136)+1,""))</f>
        <v/>
      </c>
    </row>
    <row r="1138" spans="1:14" x14ac:dyDescent="0.25">
      <c r="A1138" s="21" t="s">
        <v>2429</v>
      </c>
      <c r="B1138" s="22" t="s">
        <v>2430</v>
      </c>
      <c r="C1138" s="21"/>
      <c r="N1138" t="str">
        <f>IF($B$1="","",IF(ISNUMBER(SEARCH($B$1,$A1138&amp;" "&amp;$B1138)),MAX($N$3:N1137)+1,""))</f>
        <v/>
      </c>
    </row>
    <row r="1139" spans="1:14" x14ac:dyDescent="0.25">
      <c r="A1139" s="21" t="s">
        <v>2431</v>
      </c>
      <c r="B1139" s="22" t="s">
        <v>2432</v>
      </c>
      <c r="C1139" s="21"/>
      <c r="N1139" t="str">
        <f>IF($B$1="","",IF(ISNUMBER(SEARCH($B$1,$A1139&amp;" "&amp;$B1139)),MAX($N$3:N1138)+1,""))</f>
        <v/>
      </c>
    </row>
    <row r="1140" spans="1:14" x14ac:dyDescent="0.25">
      <c r="A1140" s="21" t="s">
        <v>2433</v>
      </c>
      <c r="B1140" s="22" t="s">
        <v>2434</v>
      </c>
      <c r="C1140" s="21"/>
      <c r="N1140" t="str">
        <f>IF($B$1="","",IF(ISNUMBER(SEARCH($B$1,$A1140&amp;" "&amp;$B1140)),MAX($N$3:N1139)+1,""))</f>
        <v/>
      </c>
    </row>
    <row r="1141" spans="1:14" x14ac:dyDescent="0.25">
      <c r="A1141" s="21" t="s">
        <v>2435</v>
      </c>
      <c r="B1141" s="22" t="s">
        <v>2436</v>
      </c>
      <c r="C1141" s="21"/>
      <c r="N1141" t="str">
        <f>IF($B$1="","",IF(ISNUMBER(SEARCH($B$1,$A1141&amp;" "&amp;$B1141)),MAX($N$3:N1140)+1,""))</f>
        <v/>
      </c>
    </row>
    <row r="1142" spans="1:14" x14ac:dyDescent="0.25">
      <c r="A1142" s="21" t="s">
        <v>2437</v>
      </c>
      <c r="B1142" s="22" t="s">
        <v>2438</v>
      </c>
      <c r="C1142" s="21"/>
      <c r="N1142" t="str">
        <f>IF($B$1="","",IF(ISNUMBER(SEARCH($B$1,$A1142&amp;" "&amp;$B1142)),MAX($N$3:N1141)+1,""))</f>
        <v/>
      </c>
    </row>
    <row r="1143" spans="1:14" x14ac:dyDescent="0.25">
      <c r="A1143" s="21" t="s">
        <v>2439</v>
      </c>
      <c r="B1143" s="22" t="s">
        <v>2440</v>
      </c>
      <c r="C1143" s="21"/>
      <c r="N1143" t="str">
        <f>IF($B$1="","",IF(ISNUMBER(SEARCH($B$1,$A1143&amp;" "&amp;$B1143)),MAX($N$3:N1142)+1,""))</f>
        <v/>
      </c>
    </row>
    <row r="1144" spans="1:14" x14ac:dyDescent="0.25">
      <c r="A1144" s="21" t="s">
        <v>2441</v>
      </c>
      <c r="B1144" s="22" t="s">
        <v>2442</v>
      </c>
      <c r="C1144" s="21"/>
      <c r="N1144" t="str">
        <f>IF($B$1="","",IF(ISNUMBER(SEARCH($B$1,$A1144&amp;" "&amp;$B1144)),MAX($N$3:N1143)+1,""))</f>
        <v/>
      </c>
    </row>
    <row r="1145" spans="1:14" x14ac:dyDescent="0.25">
      <c r="A1145" s="21" t="s">
        <v>2443</v>
      </c>
      <c r="B1145" s="22" t="s">
        <v>2444</v>
      </c>
      <c r="C1145" s="21"/>
      <c r="N1145" t="str">
        <f>IF($B$1="","",IF(ISNUMBER(SEARCH($B$1,$A1145&amp;" "&amp;$B1145)),MAX($N$3:N1144)+1,""))</f>
        <v/>
      </c>
    </row>
    <row r="1146" spans="1:14" x14ac:dyDescent="0.25">
      <c r="A1146" s="21" t="s">
        <v>2445</v>
      </c>
      <c r="B1146" s="22" t="s">
        <v>2446</v>
      </c>
      <c r="C1146" s="21"/>
      <c r="N1146" t="str">
        <f>IF($B$1="","",IF(ISNUMBER(SEARCH($B$1,$A1146&amp;" "&amp;$B1146)),MAX($N$3:N1145)+1,""))</f>
        <v/>
      </c>
    </row>
    <row r="1147" spans="1:14" x14ac:dyDescent="0.25">
      <c r="A1147" s="21" t="s">
        <v>2447</v>
      </c>
      <c r="B1147" s="22" t="s">
        <v>2448</v>
      </c>
      <c r="C1147" s="21"/>
      <c r="N1147" t="str">
        <f>IF($B$1="","",IF(ISNUMBER(SEARCH($B$1,$A1147&amp;" "&amp;$B1147)),MAX($N$3:N1146)+1,""))</f>
        <v/>
      </c>
    </row>
    <row r="1148" spans="1:14" x14ac:dyDescent="0.25">
      <c r="A1148" s="21" t="s">
        <v>2449</v>
      </c>
      <c r="B1148" s="22" t="s">
        <v>2450</v>
      </c>
      <c r="C1148" s="21"/>
      <c r="N1148" t="str">
        <f>IF($B$1="","",IF(ISNUMBER(SEARCH($B$1,$A1148&amp;" "&amp;$B1148)),MAX($N$3:N1147)+1,""))</f>
        <v/>
      </c>
    </row>
    <row r="1149" spans="1:14" x14ac:dyDescent="0.25">
      <c r="A1149" s="21" t="s">
        <v>2451</v>
      </c>
      <c r="B1149" s="22" t="s">
        <v>2452</v>
      </c>
      <c r="C1149" s="21"/>
      <c r="N1149" t="str">
        <f>IF($B$1="","",IF(ISNUMBER(SEARCH($B$1,$A1149&amp;" "&amp;$B1149)),MAX($N$3:N1148)+1,""))</f>
        <v/>
      </c>
    </row>
    <row r="1150" spans="1:14" x14ac:dyDescent="0.25">
      <c r="A1150" s="21" t="s">
        <v>2453</v>
      </c>
      <c r="B1150" s="22" t="s">
        <v>2454</v>
      </c>
      <c r="C1150" s="21"/>
      <c r="N1150" t="str">
        <f>IF($B$1="","",IF(ISNUMBER(SEARCH($B$1,$A1150&amp;" "&amp;$B1150)),MAX($N$3:N1149)+1,""))</f>
        <v/>
      </c>
    </row>
    <row r="1151" spans="1:14" x14ac:dyDescent="0.25">
      <c r="A1151" s="21" t="s">
        <v>2455</v>
      </c>
      <c r="B1151" s="22" t="s">
        <v>2456</v>
      </c>
      <c r="C1151" s="21"/>
      <c r="N1151" t="str">
        <f>IF($B$1="","",IF(ISNUMBER(SEARCH($B$1,$A1151&amp;" "&amp;$B1151)),MAX($N$3:N1150)+1,""))</f>
        <v/>
      </c>
    </row>
    <row r="1152" spans="1:14" x14ac:dyDescent="0.25">
      <c r="A1152" s="21" t="s">
        <v>2457</v>
      </c>
      <c r="B1152" s="22" t="s">
        <v>2458</v>
      </c>
      <c r="C1152" s="21"/>
      <c r="N1152" t="str">
        <f>IF($B$1="","",IF(ISNUMBER(SEARCH($B$1,$A1152&amp;" "&amp;$B1152)),MAX($N$3:N1151)+1,""))</f>
        <v/>
      </c>
    </row>
    <row r="1153" spans="1:14" x14ac:dyDescent="0.25">
      <c r="A1153" s="21" t="s">
        <v>2459</v>
      </c>
      <c r="B1153" s="22" t="s">
        <v>2460</v>
      </c>
      <c r="C1153" s="21"/>
      <c r="N1153" t="str">
        <f>IF($B$1="","",IF(ISNUMBER(SEARCH($B$1,$A1153&amp;" "&amp;$B1153)),MAX($N$3:N1152)+1,""))</f>
        <v/>
      </c>
    </row>
    <row r="1154" spans="1:14" x14ac:dyDescent="0.25">
      <c r="A1154" s="21" t="s">
        <v>2461</v>
      </c>
      <c r="B1154" s="22" t="s">
        <v>2462</v>
      </c>
      <c r="C1154" s="21"/>
      <c r="N1154" t="str">
        <f>IF($B$1="","",IF(ISNUMBER(SEARCH($B$1,$A1154&amp;" "&amp;$B1154)),MAX($N$3:N1153)+1,""))</f>
        <v/>
      </c>
    </row>
    <row r="1155" spans="1:14" x14ac:dyDescent="0.25">
      <c r="A1155" s="21" t="s">
        <v>2463</v>
      </c>
      <c r="B1155" s="22" t="s">
        <v>2464</v>
      </c>
      <c r="C1155" s="21"/>
      <c r="N1155" t="str">
        <f>IF($B$1="","",IF(ISNUMBER(SEARCH($B$1,$A1155&amp;" "&amp;$B1155)),MAX($N$3:N1154)+1,""))</f>
        <v/>
      </c>
    </row>
    <row r="1156" spans="1:14" x14ac:dyDescent="0.25">
      <c r="A1156" s="21" t="s">
        <v>2465</v>
      </c>
      <c r="B1156" s="22" t="s">
        <v>2466</v>
      </c>
      <c r="C1156" s="21"/>
      <c r="N1156" t="str">
        <f>IF($B$1="","",IF(ISNUMBER(SEARCH($B$1,$A1156&amp;" "&amp;$B1156)),MAX($N$3:N1155)+1,""))</f>
        <v/>
      </c>
    </row>
    <row r="1157" spans="1:14" x14ac:dyDescent="0.25">
      <c r="A1157" s="21" t="s">
        <v>2467</v>
      </c>
      <c r="B1157" s="22" t="s">
        <v>2468</v>
      </c>
      <c r="C1157" s="21"/>
      <c r="N1157" t="str">
        <f>IF($B$1="","",IF(ISNUMBER(SEARCH($B$1,$A1157&amp;" "&amp;$B1157)),MAX($N$3:N1156)+1,""))</f>
        <v/>
      </c>
    </row>
    <row r="1158" spans="1:14" x14ac:dyDescent="0.25">
      <c r="A1158" s="21" t="s">
        <v>2469</v>
      </c>
      <c r="B1158" s="22" t="s">
        <v>2470</v>
      </c>
      <c r="C1158" s="21"/>
      <c r="N1158" t="str">
        <f>IF($B$1="","",IF(ISNUMBER(SEARCH($B$1,$A1158&amp;" "&amp;$B1158)),MAX($N$3:N1157)+1,""))</f>
        <v/>
      </c>
    </row>
    <row r="1159" spans="1:14" x14ac:dyDescent="0.25">
      <c r="A1159" s="21" t="s">
        <v>2471</v>
      </c>
      <c r="B1159" s="22" t="s">
        <v>2472</v>
      </c>
      <c r="C1159" s="21"/>
      <c r="N1159" t="str">
        <f>IF($B$1="","",IF(ISNUMBER(SEARCH($B$1,$A1159&amp;" "&amp;$B1159)),MAX($N$3:N1158)+1,""))</f>
        <v/>
      </c>
    </row>
    <row r="1160" spans="1:14" x14ac:dyDescent="0.25">
      <c r="A1160" s="21" t="s">
        <v>2473</v>
      </c>
      <c r="B1160" s="22" t="s">
        <v>41</v>
      </c>
      <c r="C1160" s="21"/>
      <c r="N1160" t="str">
        <f>IF($B$1="","",IF(ISNUMBER(SEARCH($B$1,$A1160&amp;" "&amp;$B1160)),MAX($N$3:N1159)+1,""))</f>
        <v/>
      </c>
    </row>
    <row r="1161" spans="1:14" x14ac:dyDescent="0.25">
      <c r="A1161" s="21" t="s">
        <v>2474</v>
      </c>
      <c r="B1161" s="22" t="s">
        <v>2475</v>
      </c>
      <c r="C1161" s="21"/>
      <c r="N1161" t="str">
        <f>IF($B$1="","",IF(ISNUMBER(SEARCH($B$1,$A1161&amp;" "&amp;$B1161)),MAX($N$3:N1160)+1,""))</f>
        <v/>
      </c>
    </row>
    <row r="1162" spans="1:14" x14ac:dyDescent="0.25">
      <c r="A1162" s="21" t="s">
        <v>2476</v>
      </c>
      <c r="B1162" s="22" t="s">
        <v>2477</v>
      </c>
      <c r="C1162" s="21"/>
      <c r="N1162" t="str">
        <f>IF($B$1="","",IF(ISNUMBER(SEARCH($B$1,$A1162&amp;" "&amp;$B1162)),MAX($N$3:N1161)+1,""))</f>
        <v/>
      </c>
    </row>
    <row r="1163" spans="1:14" x14ac:dyDescent="0.25">
      <c r="A1163" s="21" t="s">
        <v>2478</v>
      </c>
      <c r="B1163" s="22" t="s">
        <v>2479</v>
      </c>
      <c r="C1163" s="21"/>
      <c r="N1163" t="str">
        <f>IF($B$1="","",IF(ISNUMBER(SEARCH($B$1,$A1163&amp;" "&amp;$B1163)),MAX($N$3:N1162)+1,""))</f>
        <v/>
      </c>
    </row>
    <row r="1164" spans="1:14" x14ac:dyDescent="0.25">
      <c r="A1164" s="21" t="s">
        <v>2480</v>
      </c>
      <c r="B1164" s="22" t="s">
        <v>2481</v>
      </c>
      <c r="C1164" s="21"/>
      <c r="N1164" t="str">
        <f>IF($B$1="","",IF(ISNUMBER(SEARCH($B$1,$A1164&amp;" "&amp;$B1164)),MAX($N$3:N1163)+1,""))</f>
        <v/>
      </c>
    </row>
    <row r="1165" spans="1:14" x14ac:dyDescent="0.25">
      <c r="A1165" s="21" t="s">
        <v>2482</v>
      </c>
      <c r="B1165" s="22" t="s">
        <v>2483</v>
      </c>
      <c r="C1165" s="21"/>
      <c r="N1165" t="str">
        <f>IF($B$1="","",IF(ISNUMBER(SEARCH($B$1,$A1165&amp;" "&amp;$B1165)),MAX($N$3:N1164)+1,""))</f>
        <v/>
      </c>
    </row>
    <row r="1166" spans="1:14" x14ac:dyDescent="0.25">
      <c r="A1166" s="21" t="s">
        <v>2484</v>
      </c>
      <c r="B1166" s="22" t="s">
        <v>2485</v>
      </c>
      <c r="C1166" s="21"/>
      <c r="N1166" t="str">
        <f>IF($B$1="","",IF(ISNUMBER(SEARCH($B$1,$A1166&amp;" "&amp;$B1166)),MAX($N$3:N1165)+1,""))</f>
        <v/>
      </c>
    </row>
    <row r="1167" spans="1:14" x14ac:dyDescent="0.25">
      <c r="A1167" s="21" t="s">
        <v>2486</v>
      </c>
      <c r="B1167" s="22" t="s">
        <v>2487</v>
      </c>
      <c r="C1167" s="21"/>
      <c r="N1167" t="str">
        <f>IF($B$1="","",IF(ISNUMBER(SEARCH($B$1,$A1167&amp;" "&amp;$B1167)),MAX($N$3:N1166)+1,""))</f>
        <v/>
      </c>
    </row>
    <row r="1168" spans="1:14" x14ac:dyDescent="0.25">
      <c r="A1168" s="21" t="s">
        <v>2488</v>
      </c>
      <c r="B1168" s="22" t="s">
        <v>2489</v>
      </c>
      <c r="C1168" s="21"/>
      <c r="N1168" t="str">
        <f>IF($B$1="","",IF(ISNUMBER(SEARCH($B$1,$A1168&amp;" "&amp;$B1168)),MAX($N$3:N1167)+1,""))</f>
        <v/>
      </c>
    </row>
    <row r="1169" spans="1:14" x14ac:dyDescent="0.25">
      <c r="A1169" s="21" t="s">
        <v>2490</v>
      </c>
      <c r="B1169" s="22" t="s">
        <v>2491</v>
      </c>
      <c r="C1169" s="21"/>
      <c r="N1169" t="str">
        <f>IF($B$1="","",IF(ISNUMBER(SEARCH($B$1,$A1169&amp;" "&amp;$B1169)),MAX($N$3:N1168)+1,""))</f>
        <v/>
      </c>
    </row>
    <row r="1170" spans="1:14" x14ac:dyDescent="0.25">
      <c r="A1170" s="21" t="s">
        <v>2492</v>
      </c>
      <c r="B1170" s="22" t="s">
        <v>2493</v>
      </c>
      <c r="C1170" s="21"/>
      <c r="N1170" t="str">
        <f>IF($B$1="","",IF(ISNUMBER(SEARCH($B$1,$A1170&amp;" "&amp;$B1170)),MAX($N$3:N1169)+1,""))</f>
        <v/>
      </c>
    </row>
    <row r="1171" spans="1:14" x14ac:dyDescent="0.25">
      <c r="A1171" s="21" t="s">
        <v>2494</v>
      </c>
      <c r="B1171" s="22" t="s">
        <v>2495</v>
      </c>
      <c r="C1171" s="21"/>
      <c r="N1171" t="str">
        <f>IF($B$1="","",IF(ISNUMBER(SEARCH($B$1,$A1171&amp;" "&amp;$B1171)),MAX($N$3:N1170)+1,""))</f>
        <v/>
      </c>
    </row>
    <row r="1172" spans="1:14" x14ac:dyDescent="0.25">
      <c r="A1172" s="21" t="s">
        <v>2496</v>
      </c>
      <c r="B1172" s="22" t="s">
        <v>2497</v>
      </c>
      <c r="C1172" s="21"/>
      <c r="N1172" t="str">
        <f>IF($B$1="","",IF(ISNUMBER(SEARCH($B$1,$A1172&amp;" "&amp;$B1172)),MAX($N$3:N1171)+1,""))</f>
        <v/>
      </c>
    </row>
    <row r="1173" spans="1:14" x14ac:dyDescent="0.25">
      <c r="A1173" s="21" t="s">
        <v>2498</v>
      </c>
      <c r="B1173" s="22" t="s">
        <v>2499</v>
      </c>
      <c r="C1173" s="21"/>
      <c r="N1173" t="str">
        <f>IF($B$1="","",IF(ISNUMBER(SEARCH($B$1,$A1173&amp;" "&amp;$B1173)),MAX($N$3:N1172)+1,""))</f>
        <v/>
      </c>
    </row>
    <row r="1174" spans="1:14" x14ac:dyDescent="0.25">
      <c r="A1174" s="21" t="s">
        <v>2500</v>
      </c>
      <c r="B1174" s="22" t="s">
        <v>2501</v>
      </c>
      <c r="C1174" s="21"/>
      <c r="N1174" t="str">
        <f>IF($B$1="","",IF(ISNUMBER(SEARCH($B$1,$A1174&amp;" "&amp;$B1174)),MAX($N$3:N1173)+1,""))</f>
        <v/>
      </c>
    </row>
    <row r="1175" spans="1:14" x14ac:dyDescent="0.25">
      <c r="A1175" s="21" t="s">
        <v>2502</v>
      </c>
      <c r="B1175" s="22" t="s">
        <v>2503</v>
      </c>
      <c r="C1175" s="21"/>
      <c r="N1175" t="str">
        <f>IF($B$1="","",IF(ISNUMBER(SEARCH($B$1,$A1175&amp;" "&amp;$B1175)),MAX($N$3:N1174)+1,""))</f>
        <v/>
      </c>
    </row>
    <row r="1176" spans="1:14" x14ac:dyDescent="0.25">
      <c r="A1176" s="21" t="s">
        <v>2504</v>
      </c>
      <c r="B1176" s="22" t="s">
        <v>2505</v>
      </c>
      <c r="C1176" s="21"/>
      <c r="N1176" t="str">
        <f>IF($B$1="","",IF(ISNUMBER(SEARCH($B$1,$A1176&amp;" "&amp;$B1176)),MAX($N$3:N1175)+1,""))</f>
        <v/>
      </c>
    </row>
    <row r="1177" spans="1:14" x14ac:dyDescent="0.25">
      <c r="A1177" s="21" t="s">
        <v>2506</v>
      </c>
      <c r="B1177" s="22" t="s">
        <v>2507</v>
      </c>
      <c r="C1177" s="21"/>
      <c r="N1177" t="str">
        <f>IF($B$1="","",IF(ISNUMBER(SEARCH($B$1,$A1177&amp;" "&amp;$B1177)),MAX($N$3:N1176)+1,""))</f>
        <v/>
      </c>
    </row>
    <row r="1178" spans="1:14" x14ac:dyDescent="0.25">
      <c r="A1178" s="21" t="s">
        <v>2508</v>
      </c>
      <c r="B1178" s="22" t="s">
        <v>2509</v>
      </c>
      <c r="C1178" s="21"/>
      <c r="N1178" t="str">
        <f>IF($B$1="","",IF(ISNUMBER(SEARCH($B$1,$A1178&amp;" "&amp;$B1178)),MAX($N$3:N1177)+1,""))</f>
        <v/>
      </c>
    </row>
    <row r="1179" spans="1:14" x14ac:dyDescent="0.25">
      <c r="A1179" s="21" t="s">
        <v>2510</v>
      </c>
      <c r="B1179" s="22" t="s">
        <v>2511</v>
      </c>
      <c r="C1179" s="21"/>
      <c r="N1179" t="str">
        <f>IF($B$1="","",IF(ISNUMBER(SEARCH($B$1,$A1179&amp;" "&amp;$B1179)),MAX($N$3:N1178)+1,""))</f>
        <v/>
      </c>
    </row>
    <row r="1180" spans="1:14" x14ac:dyDescent="0.25">
      <c r="A1180" s="21" t="s">
        <v>2512</v>
      </c>
      <c r="B1180" s="22" t="s">
        <v>2513</v>
      </c>
      <c r="C1180" s="21"/>
      <c r="N1180" t="str">
        <f>IF($B$1="","",IF(ISNUMBER(SEARCH($B$1,$A1180&amp;" "&amp;$B1180)),MAX($N$3:N1179)+1,""))</f>
        <v/>
      </c>
    </row>
    <row r="1181" spans="1:14" x14ac:dyDescent="0.25">
      <c r="A1181" s="21" t="s">
        <v>2514</v>
      </c>
      <c r="B1181" s="22" t="s">
        <v>2515</v>
      </c>
      <c r="C1181" s="21"/>
      <c r="N1181" t="str">
        <f>IF($B$1="","",IF(ISNUMBER(SEARCH($B$1,$A1181&amp;" "&amp;$B1181)),MAX($N$3:N1180)+1,""))</f>
        <v/>
      </c>
    </row>
    <row r="1182" spans="1:14" x14ac:dyDescent="0.25">
      <c r="A1182" s="21" t="s">
        <v>2516</v>
      </c>
      <c r="B1182" s="22" t="s">
        <v>2517</v>
      </c>
      <c r="C1182" s="21"/>
      <c r="N1182" t="str">
        <f>IF($B$1="","",IF(ISNUMBER(SEARCH($B$1,$A1182&amp;" "&amp;$B1182)),MAX($N$3:N1181)+1,""))</f>
        <v/>
      </c>
    </row>
    <row r="1183" spans="1:14" x14ac:dyDescent="0.25">
      <c r="A1183" s="21" t="s">
        <v>2518</v>
      </c>
      <c r="B1183" s="22" t="s">
        <v>2519</v>
      </c>
      <c r="C1183" s="21"/>
      <c r="N1183" t="str">
        <f>IF($B$1="","",IF(ISNUMBER(SEARCH($B$1,$A1183&amp;" "&amp;$B1183)),MAX($N$3:N1182)+1,""))</f>
        <v/>
      </c>
    </row>
    <row r="1184" spans="1:14" x14ac:dyDescent="0.25">
      <c r="A1184" s="21" t="s">
        <v>2520</v>
      </c>
      <c r="B1184" s="22" t="s">
        <v>2521</v>
      </c>
      <c r="C1184" s="21"/>
      <c r="N1184" t="str">
        <f>IF($B$1="","",IF(ISNUMBER(SEARCH($B$1,$A1184&amp;" "&amp;$B1184)),MAX($N$3:N1183)+1,""))</f>
        <v/>
      </c>
    </row>
    <row r="1185" spans="1:14" x14ac:dyDescent="0.25">
      <c r="A1185" s="21" t="s">
        <v>2522</v>
      </c>
      <c r="B1185" s="22" t="s">
        <v>2523</v>
      </c>
      <c r="C1185" s="21"/>
      <c r="N1185" t="str">
        <f>IF($B$1="","",IF(ISNUMBER(SEARCH($B$1,$A1185&amp;" "&amp;$B1185)),MAX($N$3:N1184)+1,""))</f>
        <v/>
      </c>
    </row>
    <row r="1186" spans="1:14" x14ac:dyDescent="0.25">
      <c r="A1186" s="21" t="s">
        <v>2524</v>
      </c>
      <c r="B1186" s="22" t="s">
        <v>2525</v>
      </c>
      <c r="C1186" s="21"/>
      <c r="N1186" t="str">
        <f>IF($B$1="","",IF(ISNUMBER(SEARCH($B$1,$A1186&amp;" "&amp;$B1186)),MAX($N$3:N1185)+1,""))</f>
        <v/>
      </c>
    </row>
    <row r="1187" spans="1:14" x14ac:dyDescent="0.25">
      <c r="A1187" s="21" t="s">
        <v>2526</v>
      </c>
      <c r="B1187" s="22" t="s">
        <v>2527</v>
      </c>
      <c r="C1187" s="21"/>
      <c r="N1187" t="str">
        <f>IF($B$1="","",IF(ISNUMBER(SEARCH($B$1,$A1187&amp;" "&amp;$B1187)),MAX($N$3:N1186)+1,""))</f>
        <v/>
      </c>
    </row>
    <row r="1188" spans="1:14" x14ac:dyDescent="0.25">
      <c r="A1188" s="21" t="s">
        <v>2528</v>
      </c>
      <c r="B1188" s="22" t="s">
        <v>2529</v>
      </c>
      <c r="C1188" s="21"/>
      <c r="N1188" t="str">
        <f>IF($B$1="","",IF(ISNUMBER(SEARCH($B$1,$A1188&amp;" "&amp;$B1188)),MAX($N$3:N1187)+1,""))</f>
        <v/>
      </c>
    </row>
    <row r="1189" spans="1:14" x14ac:dyDescent="0.25">
      <c r="A1189" s="21" t="s">
        <v>2530</v>
      </c>
      <c r="B1189" s="22" t="s">
        <v>2531</v>
      </c>
      <c r="C1189" s="21"/>
      <c r="N1189" t="str">
        <f>IF($B$1="","",IF(ISNUMBER(SEARCH($B$1,$A1189&amp;" "&amp;$B1189)),MAX($N$3:N1188)+1,""))</f>
        <v/>
      </c>
    </row>
    <row r="1190" spans="1:14" x14ac:dyDescent="0.25">
      <c r="A1190" s="21" t="s">
        <v>2532</v>
      </c>
      <c r="B1190" s="22" t="s">
        <v>2533</v>
      </c>
      <c r="C1190" s="21"/>
      <c r="N1190" t="str">
        <f>IF($B$1="","",IF(ISNUMBER(SEARCH($B$1,$A1190&amp;" "&amp;$B1190)),MAX($N$3:N1189)+1,""))</f>
        <v/>
      </c>
    </row>
    <row r="1191" spans="1:14" x14ac:dyDescent="0.25">
      <c r="A1191" s="21" t="s">
        <v>2534</v>
      </c>
      <c r="B1191" s="22" t="s">
        <v>2535</v>
      </c>
      <c r="C1191" s="21"/>
      <c r="N1191" t="str">
        <f>IF($B$1="","",IF(ISNUMBER(SEARCH($B$1,$A1191&amp;" "&amp;$B1191)),MAX($N$3:N1190)+1,""))</f>
        <v/>
      </c>
    </row>
    <row r="1192" spans="1:14" x14ac:dyDescent="0.25">
      <c r="A1192" s="21" t="s">
        <v>2536</v>
      </c>
      <c r="B1192" s="22" t="s">
        <v>2537</v>
      </c>
      <c r="C1192" s="21"/>
      <c r="N1192" t="str">
        <f>IF($B$1="","",IF(ISNUMBER(SEARCH($B$1,$A1192&amp;" "&amp;$B1192)),MAX($N$3:N1191)+1,""))</f>
        <v/>
      </c>
    </row>
    <row r="1193" spans="1:14" x14ac:dyDescent="0.25">
      <c r="A1193" s="21" t="s">
        <v>2538</v>
      </c>
      <c r="B1193" s="22" t="s">
        <v>2539</v>
      </c>
      <c r="C1193" s="21"/>
      <c r="N1193" t="str">
        <f>IF($B$1="","",IF(ISNUMBER(SEARCH($B$1,$A1193&amp;" "&amp;$B1193)),MAX($N$3:N1192)+1,""))</f>
        <v/>
      </c>
    </row>
    <row r="1194" spans="1:14" x14ac:dyDescent="0.25">
      <c r="A1194" s="21" t="s">
        <v>2540</v>
      </c>
      <c r="B1194" s="22" t="s">
        <v>2541</v>
      </c>
      <c r="C1194" s="21"/>
      <c r="N1194" t="str">
        <f>IF($B$1="","",IF(ISNUMBER(SEARCH($B$1,$A1194&amp;" "&amp;$B1194)),MAX($N$3:N1193)+1,""))</f>
        <v/>
      </c>
    </row>
    <row r="1195" spans="1:14" x14ac:dyDescent="0.25">
      <c r="A1195" s="21" t="s">
        <v>2542</v>
      </c>
      <c r="B1195" s="22" t="s">
        <v>2543</v>
      </c>
      <c r="C1195" s="21"/>
      <c r="N1195" t="str">
        <f>IF($B$1="","",IF(ISNUMBER(SEARCH($B$1,$A1195&amp;" "&amp;$B1195)),MAX($N$3:N1194)+1,""))</f>
        <v/>
      </c>
    </row>
    <row r="1196" spans="1:14" x14ac:dyDescent="0.25">
      <c r="A1196" s="21" t="s">
        <v>2544</v>
      </c>
      <c r="B1196" s="22" t="s">
        <v>2545</v>
      </c>
      <c r="C1196" s="21"/>
      <c r="N1196" t="str">
        <f>IF($B$1="","",IF(ISNUMBER(SEARCH($B$1,$A1196&amp;" "&amp;$B1196)),MAX($N$3:N1195)+1,""))</f>
        <v/>
      </c>
    </row>
    <row r="1197" spans="1:14" x14ac:dyDescent="0.25">
      <c r="A1197" s="21" t="s">
        <v>2546</v>
      </c>
      <c r="B1197" s="22" t="s">
        <v>2547</v>
      </c>
      <c r="C1197" s="21"/>
      <c r="N1197" t="str">
        <f>IF($B$1="","",IF(ISNUMBER(SEARCH($B$1,$A1197&amp;" "&amp;$B1197)),MAX($N$3:N1196)+1,""))</f>
        <v/>
      </c>
    </row>
    <row r="1198" spans="1:14" x14ac:dyDescent="0.25">
      <c r="A1198" s="21" t="s">
        <v>2548</v>
      </c>
      <c r="B1198" s="22" t="s">
        <v>2549</v>
      </c>
      <c r="C1198" s="21"/>
      <c r="N1198" t="str">
        <f>IF($B$1="","",IF(ISNUMBER(SEARCH($B$1,$A1198&amp;" "&amp;$B1198)),MAX($N$3:N1197)+1,""))</f>
        <v/>
      </c>
    </row>
    <row r="1199" spans="1:14" x14ac:dyDescent="0.25">
      <c r="A1199" s="21" t="s">
        <v>2550</v>
      </c>
      <c r="B1199" s="22" t="s">
        <v>2551</v>
      </c>
      <c r="C1199" s="21"/>
      <c r="N1199" t="str">
        <f>IF($B$1="","",IF(ISNUMBER(SEARCH($B$1,$A1199&amp;" "&amp;$B1199)),MAX($N$3:N1198)+1,""))</f>
        <v/>
      </c>
    </row>
    <row r="1200" spans="1:14" x14ac:dyDescent="0.25">
      <c r="A1200" s="21" t="s">
        <v>2552</v>
      </c>
      <c r="B1200" s="22" t="s">
        <v>2553</v>
      </c>
      <c r="C1200" s="21"/>
      <c r="N1200" t="str">
        <f>IF($B$1="","",IF(ISNUMBER(SEARCH($B$1,$A1200&amp;" "&amp;$B1200)),MAX($N$3:N1199)+1,""))</f>
        <v/>
      </c>
    </row>
    <row r="1201" spans="1:14" x14ac:dyDescent="0.25">
      <c r="A1201" s="21" t="s">
        <v>2554</v>
      </c>
      <c r="B1201" s="22" t="s">
        <v>2555</v>
      </c>
      <c r="C1201" s="21"/>
      <c r="N1201" t="str">
        <f>IF($B$1="","",IF(ISNUMBER(SEARCH($B$1,$A1201&amp;" "&amp;$B1201)),MAX($N$3:N1200)+1,""))</f>
        <v/>
      </c>
    </row>
    <row r="1202" spans="1:14" x14ac:dyDescent="0.25">
      <c r="A1202" s="21" t="s">
        <v>2556</v>
      </c>
      <c r="B1202" s="22" t="s">
        <v>2557</v>
      </c>
      <c r="C1202" s="21"/>
      <c r="N1202" t="str">
        <f>IF($B$1="","",IF(ISNUMBER(SEARCH($B$1,$A1202&amp;" "&amp;$B1202)),MAX($N$3:N1201)+1,""))</f>
        <v/>
      </c>
    </row>
    <row r="1203" spans="1:14" x14ac:dyDescent="0.25">
      <c r="A1203" s="21" t="s">
        <v>2558</v>
      </c>
      <c r="B1203" s="22" t="s">
        <v>2559</v>
      </c>
      <c r="C1203" s="21"/>
      <c r="N1203" t="str">
        <f>IF($B$1="","",IF(ISNUMBER(SEARCH($B$1,$A1203&amp;" "&amp;$B1203)),MAX($N$3:N1202)+1,""))</f>
        <v/>
      </c>
    </row>
    <row r="1204" spans="1:14" x14ac:dyDescent="0.25">
      <c r="A1204" s="21" t="s">
        <v>2560</v>
      </c>
      <c r="B1204" s="22" t="s">
        <v>2561</v>
      </c>
      <c r="C1204" s="21"/>
      <c r="N1204" t="str">
        <f>IF($B$1="","",IF(ISNUMBER(SEARCH($B$1,$A1204&amp;" "&amp;$B1204)),MAX($N$3:N1203)+1,""))</f>
        <v/>
      </c>
    </row>
    <row r="1205" spans="1:14" x14ac:dyDescent="0.25">
      <c r="A1205" s="21" t="s">
        <v>2562</v>
      </c>
      <c r="B1205" s="22" t="s">
        <v>2563</v>
      </c>
      <c r="C1205" s="21"/>
      <c r="N1205" t="str">
        <f>IF($B$1="","",IF(ISNUMBER(SEARCH($B$1,$A1205&amp;" "&amp;$B1205)),MAX($N$3:N1204)+1,""))</f>
        <v/>
      </c>
    </row>
    <row r="1206" spans="1:14" x14ac:dyDescent="0.25">
      <c r="A1206" s="21" t="s">
        <v>2564</v>
      </c>
      <c r="B1206" s="22" t="s">
        <v>2565</v>
      </c>
      <c r="C1206" s="21"/>
      <c r="N1206" t="str">
        <f>IF($B$1="","",IF(ISNUMBER(SEARCH($B$1,$A1206&amp;" "&amp;$B1206)),MAX($N$3:N1205)+1,""))</f>
        <v/>
      </c>
    </row>
    <row r="1207" spans="1:14" x14ac:dyDescent="0.25">
      <c r="A1207" s="21" t="s">
        <v>2566</v>
      </c>
      <c r="B1207" s="22" t="s">
        <v>2567</v>
      </c>
      <c r="C1207" s="21"/>
      <c r="N1207" t="str">
        <f>IF($B$1="","",IF(ISNUMBER(SEARCH($B$1,$A1207&amp;" "&amp;$B1207)),MAX($N$3:N1206)+1,""))</f>
        <v/>
      </c>
    </row>
    <row r="1208" spans="1:14" x14ac:dyDescent="0.25">
      <c r="A1208" s="21" t="s">
        <v>2568</v>
      </c>
      <c r="B1208" s="22" t="s">
        <v>2569</v>
      </c>
      <c r="C1208" s="21"/>
      <c r="N1208" t="str">
        <f>IF($B$1="","",IF(ISNUMBER(SEARCH($B$1,$A1208&amp;" "&amp;$B1208)),MAX($N$3:N1207)+1,""))</f>
        <v/>
      </c>
    </row>
    <row r="1209" spans="1:14" x14ac:dyDescent="0.25">
      <c r="A1209" s="21" t="s">
        <v>2570</v>
      </c>
      <c r="B1209" s="22" t="s">
        <v>2571</v>
      </c>
      <c r="C1209" s="21"/>
      <c r="N1209" t="str">
        <f>IF($B$1="","",IF(ISNUMBER(SEARCH($B$1,$A1209&amp;" "&amp;$B1209)),MAX($N$3:N1208)+1,""))</f>
        <v/>
      </c>
    </row>
    <row r="1210" spans="1:14" x14ac:dyDescent="0.25">
      <c r="A1210" s="21" t="s">
        <v>2572</v>
      </c>
      <c r="B1210" s="22" t="s">
        <v>2573</v>
      </c>
      <c r="C1210" s="21"/>
      <c r="N1210" t="str">
        <f>IF($B$1="","",IF(ISNUMBER(SEARCH($B$1,$A1210&amp;" "&amp;$B1210)),MAX($N$3:N1209)+1,""))</f>
        <v/>
      </c>
    </row>
    <row r="1211" spans="1:14" x14ac:dyDescent="0.25">
      <c r="A1211" s="21" t="s">
        <v>2574</v>
      </c>
      <c r="B1211" s="22" t="s">
        <v>2575</v>
      </c>
      <c r="C1211" s="21"/>
      <c r="N1211" t="str">
        <f>IF($B$1="","",IF(ISNUMBER(SEARCH($B$1,$A1211&amp;" "&amp;$B1211)),MAX($N$3:N1210)+1,""))</f>
        <v/>
      </c>
    </row>
    <row r="1212" spans="1:14" x14ac:dyDescent="0.25">
      <c r="A1212" s="21" t="s">
        <v>106</v>
      </c>
      <c r="B1212" s="22" t="s">
        <v>21</v>
      </c>
      <c r="C1212" s="21"/>
      <c r="N1212" t="str">
        <f>IF($B$1="","",IF(ISNUMBER(SEARCH($B$1,$A1212&amp;" "&amp;$B1212)),MAX($N$3:N1211)+1,""))</f>
        <v/>
      </c>
    </row>
    <row r="1213" spans="1:14" x14ac:dyDescent="0.25">
      <c r="A1213" s="21" t="s">
        <v>2576</v>
      </c>
      <c r="B1213" s="22" t="s">
        <v>18</v>
      </c>
      <c r="C1213" s="21"/>
      <c r="N1213" t="str">
        <f>IF($B$1="","",IF(ISNUMBER(SEARCH($B$1,$A1213&amp;" "&amp;$B1213)),MAX($N$3:N1212)+1,""))</f>
        <v/>
      </c>
    </row>
    <row r="1214" spans="1:14" x14ac:dyDescent="0.25">
      <c r="A1214" s="21" t="s">
        <v>2577</v>
      </c>
      <c r="B1214" s="22" t="s">
        <v>2578</v>
      </c>
      <c r="C1214" s="21"/>
      <c r="N1214" t="str">
        <f>IF($B$1="","",IF(ISNUMBER(SEARCH($B$1,$A1214&amp;" "&amp;$B1214)),MAX($N$3:N1213)+1,""))</f>
        <v/>
      </c>
    </row>
    <row r="1215" spans="1:14" x14ac:dyDescent="0.25">
      <c r="A1215" s="21" t="s">
        <v>2579</v>
      </c>
      <c r="B1215" s="22" t="s">
        <v>2580</v>
      </c>
      <c r="C1215" s="21"/>
      <c r="N1215" t="str">
        <f>IF($B$1="","",IF(ISNUMBER(SEARCH($B$1,$A1215&amp;" "&amp;$B1215)),MAX($N$3:N1214)+1,""))</f>
        <v/>
      </c>
    </row>
    <row r="1216" spans="1:14" x14ac:dyDescent="0.25">
      <c r="A1216" s="21" t="s">
        <v>2581</v>
      </c>
      <c r="B1216" s="22" t="s">
        <v>2582</v>
      </c>
      <c r="C1216" s="21"/>
      <c r="N1216" t="str">
        <f>IF($B$1="","",IF(ISNUMBER(SEARCH($B$1,$A1216&amp;" "&amp;$B1216)),MAX($N$3:N1215)+1,""))</f>
        <v/>
      </c>
    </row>
    <row r="1217" spans="1:14" x14ac:dyDescent="0.25">
      <c r="A1217" s="21" t="s">
        <v>2583</v>
      </c>
      <c r="B1217" s="22" t="s">
        <v>2584</v>
      </c>
      <c r="C1217" s="21"/>
      <c r="N1217" t="str">
        <f>IF($B$1="","",IF(ISNUMBER(SEARCH($B$1,$A1217&amp;" "&amp;$B1217)),MAX($N$3:N1216)+1,""))</f>
        <v/>
      </c>
    </row>
    <row r="1218" spans="1:14" x14ac:dyDescent="0.25">
      <c r="A1218" s="21" t="s">
        <v>2585</v>
      </c>
      <c r="B1218" s="22" t="s">
        <v>2586</v>
      </c>
      <c r="C1218" s="21"/>
      <c r="N1218" t="str">
        <f>IF($B$1="","",IF(ISNUMBER(SEARCH($B$1,$A1218&amp;" "&amp;$B1218)),MAX($N$3:N1217)+1,""))</f>
        <v/>
      </c>
    </row>
    <row r="1219" spans="1:14" x14ac:dyDescent="0.25">
      <c r="A1219" s="21" t="s">
        <v>2587</v>
      </c>
      <c r="B1219" s="22" t="s">
        <v>2588</v>
      </c>
      <c r="C1219" s="21"/>
      <c r="N1219" t="str">
        <f>IF($B$1="","",IF(ISNUMBER(SEARCH($B$1,$A1219&amp;" "&amp;$B1219)),MAX($N$3:N1218)+1,""))</f>
        <v/>
      </c>
    </row>
    <row r="1220" spans="1:14" x14ac:dyDescent="0.25">
      <c r="A1220" s="21" t="s">
        <v>2589</v>
      </c>
      <c r="B1220" s="22" t="s">
        <v>2590</v>
      </c>
      <c r="C1220" s="21"/>
      <c r="N1220" t="str">
        <f>IF($B$1="","",IF(ISNUMBER(SEARCH($B$1,$A1220&amp;" "&amp;$B1220)),MAX($N$3:N1219)+1,""))</f>
        <v/>
      </c>
    </row>
    <row r="1221" spans="1:14" x14ac:dyDescent="0.25">
      <c r="A1221" s="21" t="s">
        <v>2591</v>
      </c>
      <c r="B1221" s="22" t="s">
        <v>2592</v>
      </c>
      <c r="C1221" s="21"/>
      <c r="N1221" t="str">
        <f>IF($B$1="","",IF(ISNUMBER(SEARCH($B$1,$A1221&amp;" "&amp;$B1221)),MAX($N$3:N1220)+1,""))</f>
        <v/>
      </c>
    </row>
    <row r="1222" spans="1:14" x14ac:dyDescent="0.25">
      <c r="A1222" s="21" t="s">
        <v>2593</v>
      </c>
      <c r="B1222" s="22" t="s">
        <v>2594</v>
      </c>
      <c r="C1222" s="21"/>
      <c r="N1222" t="str">
        <f>IF($B$1="","",IF(ISNUMBER(SEARCH($B$1,$A1222&amp;" "&amp;$B1222)),MAX($N$3:N1221)+1,""))</f>
        <v/>
      </c>
    </row>
    <row r="1223" spans="1:14" x14ac:dyDescent="0.25">
      <c r="A1223" s="21" t="s">
        <v>2595</v>
      </c>
      <c r="B1223" s="22" t="s">
        <v>2596</v>
      </c>
      <c r="C1223" s="21" t="s">
        <v>455</v>
      </c>
      <c r="N1223" t="str">
        <f>IF($B$1="","",IF(ISNUMBER(SEARCH($B$1,$A1223&amp;" "&amp;$B1223)),MAX($N$3:N1222)+1,""))</f>
        <v/>
      </c>
    </row>
    <row r="1224" spans="1:14" x14ac:dyDescent="0.25">
      <c r="A1224" s="21" t="s">
        <v>2597</v>
      </c>
      <c r="B1224" s="22" t="s">
        <v>2598</v>
      </c>
      <c r="C1224" s="21"/>
      <c r="N1224" t="str">
        <f>IF($B$1="","",IF(ISNUMBER(SEARCH($B$1,$A1224&amp;" "&amp;$B1224)),MAX($N$3:N1223)+1,""))</f>
        <v/>
      </c>
    </row>
    <row r="1225" spans="1:14" x14ac:dyDescent="0.25">
      <c r="A1225" s="21" t="s">
        <v>2599</v>
      </c>
      <c r="B1225" s="22" t="s">
        <v>2600</v>
      </c>
      <c r="C1225" s="21"/>
      <c r="N1225" t="str">
        <f>IF($B$1="","",IF(ISNUMBER(SEARCH($B$1,$A1225&amp;" "&amp;$B1225)),MAX($N$3:N1224)+1,""))</f>
        <v/>
      </c>
    </row>
    <row r="1226" spans="1:14" x14ac:dyDescent="0.25">
      <c r="A1226" s="21" t="s">
        <v>2601</v>
      </c>
      <c r="B1226" s="22" t="s">
        <v>2602</v>
      </c>
      <c r="C1226" s="21"/>
      <c r="N1226" t="str">
        <f>IF($B$1="","",IF(ISNUMBER(SEARCH($B$1,$A1226&amp;" "&amp;$B1226)),MAX($N$3:N1225)+1,""))</f>
        <v/>
      </c>
    </row>
    <row r="1227" spans="1:14" x14ac:dyDescent="0.25">
      <c r="A1227" s="21" t="s">
        <v>2603</v>
      </c>
      <c r="B1227" s="22" t="s">
        <v>2604</v>
      </c>
      <c r="C1227" s="21"/>
      <c r="N1227" t="str">
        <f>IF($B$1="","",IF(ISNUMBER(SEARCH($B$1,$A1227&amp;" "&amp;$B1227)),MAX($N$3:N1226)+1,""))</f>
        <v/>
      </c>
    </row>
    <row r="1228" spans="1:14" x14ac:dyDescent="0.25">
      <c r="A1228" s="21" t="s">
        <v>2605</v>
      </c>
      <c r="B1228" s="22" t="s">
        <v>2606</v>
      </c>
      <c r="C1228" s="21"/>
      <c r="N1228" t="str">
        <f>IF($B$1="","",IF(ISNUMBER(SEARCH($B$1,$A1228&amp;" "&amp;$B1228)),MAX($N$3:N1227)+1,""))</f>
        <v/>
      </c>
    </row>
    <row r="1229" spans="1:14" x14ac:dyDescent="0.25">
      <c r="A1229" s="21" t="s">
        <v>2607</v>
      </c>
      <c r="B1229" s="22" t="s">
        <v>2608</v>
      </c>
      <c r="C1229" s="21"/>
      <c r="N1229" t="str">
        <f>IF($B$1="","",IF(ISNUMBER(SEARCH($B$1,$A1229&amp;" "&amp;$B1229)),MAX($N$3:N1228)+1,""))</f>
        <v/>
      </c>
    </row>
    <row r="1230" spans="1:14" x14ac:dyDescent="0.25">
      <c r="A1230" s="21" t="s">
        <v>2609</v>
      </c>
      <c r="B1230" s="22" t="s">
        <v>2610</v>
      </c>
      <c r="C1230" s="21"/>
      <c r="N1230" t="str">
        <f>IF($B$1="","",IF(ISNUMBER(SEARCH($B$1,$A1230&amp;" "&amp;$B1230)),MAX($N$3:N1229)+1,""))</f>
        <v/>
      </c>
    </row>
    <row r="1231" spans="1:14" x14ac:dyDescent="0.25">
      <c r="A1231" s="21" t="s">
        <v>2611</v>
      </c>
      <c r="B1231" s="22" t="s">
        <v>2612</v>
      </c>
      <c r="C1231" s="21"/>
      <c r="N1231" t="str">
        <f>IF($B$1="","",IF(ISNUMBER(SEARCH($B$1,$A1231&amp;" "&amp;$B1231)),MAX($N$3:N1230)+1,""))</f>
        <v/>
      </c>
    </row>
    <row r="1232" spans="1:14" x14ac:dyDescent="0.25">
      <c r="A1232" s="21" t="s">
        <v>2613</v>
      </c>
      <c r="B1232" s="22" t="s">
        <v>2614</v>
      </c>
      <c r="C1232" s="21"/>
      <c r="N1232" t="str">
        <f>IF($B$1="","",IF(ISNUMBER(SEARCH($B$1,$A1232&amp;" "&amp;$B1232)),MAX($N$3:N1231)+1,""))</f>
        <v/>
      </c>
    </row>
    <row r="1233" spans="1:14" x14ac:dyDescent="0.25">
      <c r="A1233" s="21" t="s">
        <v>2615</v>
      </c>
      <c r="B1233" s="22" t="s">
        <v>2616</v>
      </c>
      <c r="C1233" s="21"/>
      <c r="N1233" t="str">
        <f>IF($B$1="","",IF(ISNUMBER(SEARCH($B$1,$A1233&amp;" "&amp;$B1233)),MAX($N$3:N1232)+1,""))</f>
        <v/>
      </c>
    </row>
    <row r="1234" spans="1:14" x14ac:dyDescent="0.25">
      <c r="A1234" s="21" t="s">
        <v>2617</v>
      </c>
      <c r="B1234" s="22" t="s">
        <v>2618</v>
      </c>
      <c r="C1234" s="21"/>
      <c r="N1234" t="str">
        <f>IF($B$1="","",IF(ISNUMBER(SEARCH($B$1,$A1234&amp;" "&amp;$B1234)),MAX($N$3:N1233)+1,""))</f>
        <v/>
      </c>
    </row>
    <row r="1235" spans="1:14" x14ac:dyDescent="0.25">
      <c r="A1235" s="21" t="s">
        <v>2619</v>
      </c>
      <c r="B1235" s="22" t="s">
        <v>2620</v>
      </c>
      <c r="C1235" s="21"/>
      <c r="N1235" t="str">
        <f>IF($B$1="","",IF(ISNUMBER(SEARCH($B$1,$A1235&amp;" "&amp;$B1235)),MAX($N$3:N1234)+1,""))</f>
        <v/>
      </c>
    </row>
    <row r="1236" spans="1:14" x14ac:dyDescent="0.25">
      <c r="A1236" s="21" t="s">
        <v>2621</v>
      </c>
      <c r="B1236" s="22" t="s">
        <v>2622</v>
      </c>
      <c r="C1236" s="21"/>
      <c r="N1236" t="str">
        <f>IF($B$1="","",IF(ISNUMBER(SEARCH($B$1,$A1236&amp;" "&amp;$B1236)),MAX($N$3:N1235)+1,""))</f>
        <v/>
      </c>
    </row>
    <row r="1237" spans="1:14" x14ac:dyDescent="0.25">
      <c r="A1237" s="21" t="s">
        <v>2623</v>
      </c>
      <c r="B1237" s="22" t="s">
        <v>2624</v>
      </c>
      <c r="C1237" s="21"/>
      <c r="N1237" t="str">
        <f>IF($B$1="","",IF(ISNUMBER(SEARCH($B$1,$A1237&amp;" "&amp;$B1237)),MAX($N$3:N1236)+1,""))</f>
        <v/>
      </c>
    </row>
    <row r="1238" spans="1:14" x14ac:dyDescent="0.25">
      <c r="A1238" s="21" t="s">
        <v>2625</v>
      </c>
      <c r="B1238" s="22" t="s">
        <v>2626</v>
      </c>
      <c r="C1238" s="21"/>
      <c r="N1238" t="str">
        <f>IF($B$1="","",IF(ISNUMBER(SEARCH($B$1,$A1238&amp;" "&amp;$B1238)),MAX($N$3:N1237)+1,""))</f>
        <v/>
      </c>
    </row>
    <row r="1239" spans="1:14" x14ac:dyDescent="0.25">
      <c r="A1239" s="21" t="s">
        <v>2627</v>
      </c>
      <c r="B1239" s="22" t="s">
        <v>2628</v>
      </c>
      <c r="C1239" s="21"/>
      <c r="N1239" t="str">
        <f>IF($B$1="","",IF(ISNUMBER(SEARCH($B$1,$A1239&amp;" "&amp;$B1239)),MAX($N$3:N1238)+1,""))</f>
        <v/>
      </c>
    </row>
    <row r="1240" spans="1:14" x14ac:dyDescent="0.25">
      <c r="A1240" s="21" t="s">
        <v>2629</v>
      </c>
      <c r="B1240" s="22" t="s">
        <v>2630</v>
      </c>
      <c r="C1240" s="21"/>
      <c r="N1240" t="str">
        <f>IF($B$1="","",IF(ISNUMBER(SEARCH($B$1,$A1240&amp;" "&amp;$B1240)),MAX($N$3:N1239)+1,""))</f>
        <v/>
      </c>
    </row>
    <row r="1241" spans="1:14" x14ac:dyDescent="0.25">
      <c r="A1241" s="21" t="s">
        <v>2631</v>
      </c>
      <c r="B1241" s="22" t="s">
        <v>2632</v>
      </c>
      <c r="C1241" s="21"/>
      <c r="N1241" t="str">
        <f>IF($B$1="","",IF(ISNUMBER(SEARCH($B$1,$A1241&amp;" "&amp;$B1241)),MAX($N$3:N1240)+1,""))</f>
        <v/>
      </c>
    </row>
    <row r="1242" spans="1:14" x14ac:dyDescent="0.25">
      <c r="A1242" s="21" t="s">
        <v>2633</v>
      </c>
      <c r="B1242" s="22" t="s">
        <v>2634</v>
      </c>
      <c r="C1242" s="21"/>
      <c r="N1242" t="str">
        <f>IF($B$1="","",IF(ISNUMBER(SEARCH($B$1,$A1242&amp;" "&amp;$B1242)),MAX($N$3:N1241)+1,""))</f>
        <v/>
      </c>
    </row>
    <row r="1243" spans="1:14" x14ac:dyDescent="0.25">
      <c r="A1243" s="21" t="s">
        <v>2635</v>
      </c>
      <c r="B1243" s="22" t="s">
        <v>2636</v>
      </c>
      <c r="C1243" s="21"/>
      <c r="N1243" t="str">
        <f>IF($B$1="","",IF(ISNUMBER(SEARCH($B$1,$A1243&amp;" "&amp;$B1243)),MAX($N$3:N1242)+1,""))</f>
        <v/>
      </c>
    </row>
    <row r="1244" spans="1:14" x14ac:dyDescent="0.25">
      <c r="A1244" s="21" t="s">
        <v>2637</v>
      </c>
      <c r="B1244" s="22" t="s">
        <v>2638</v>
      </c>
      <c r="C1244" s="21"/>
      <c r="N1244" t="str">
        <f>IF($B$1="","",IF(ISNUMBER(SEARCH($B$1,$A1244&amp;" "&amp;$B1244)),MAX($N$3:N1243)+1,""))</f>
        <v/>
      </c>
    </row>
    <row r="1245" spans="1:14" x14ac:dyDescent="0.25">
      <c r="A1245" s="21" t="s">
        <v>2639</v>
      </c>
      <c r="B1245" s="22" t="s">
        <v>2640</v>
      </c>
      <c r="C1245" s="21"/>
      <c r="N1245" t="str">
        <f>IF($B$1="","",IF(ISNUMBER(SEARCH($B$1,$A1245&amp;" "&amp;$B1245)),MAX($N$3:N1244)+1,""))</f>
        <v/>
      </c>
    </row>
    <row r="1246" spans="1:14" x14ac:dyDescent="0.25">
      <c r="A1246" s="21" t="s">
        <v>2641</v>
      </c>
      <c r="B1246" s="22" t="s">
        <v>2642</v>
      </c>
      <c r="C1246" s="21"/>
      <c r="N1246" t="str">
        <f>IF($B$1="","",IF(ISNUMBER(SEARCH($B$1,$A1246&amp;" "&amp;$B1246)),MAX($N$3:N1245)+1,""))</f>
        <v/>
      </c>
    </row>
    <row r="1247" spans="1:14" x14ac:dyDescent="0.25">
      <c r="A1247" s="21" t="s">
        <v>2643</v>
      </c>
      <c r="B1247" s="22" t="s">
        <v>42</v>
      </c>
      <c r="C1247" s="21" t="s">
        <v>455</v>
      </c>
      <c r="N1247" t="str">
        <f>IF($B$1="","",IF(ISNUMBER(SEARCH($B$1,$A1247&amp;" "&amp;$B1247)),MAX($N$3:N1246)+1,""))</f>
        <v/>
      </c>
    </row>
    <row r="1248" spans="1:14" x14ac:dyDescent="0.25">
      <c r="A1248" s="21" t="s">
        <v>2644</v>
      </c>
      <c r="B1248" s="22" t="s">
        <v>2645</v>
      </c>
      <c r="C1248" s="21"/>
      <c r="N1248" t="str">
        <f>IF($B$1="","",IF(ISNUMBER(SEARCH($B$1,$A1248&amp;" "&amp;$B1248)),MAX($N$3:N1247)+1,""))</f>
        <v/>
      </c>
    </row>
    <row r="1249" spans="1:14" x14ac:dyDescent="0.25">
      <c r="A1249" s="21" t="s">
        <v>2646</v>
      </c>
      <c r="B1249" s="22" t="s">
        <v>2647</v>
      </c>
      <c r="C1249" s="21"/>
      <c r="N1249" t="str">
        <f>IF($B$1="","",IF(ISNUMBER(SEARCH($B$1,$A1249&amp;" "&amp;$B1249)),MAX($N$3:N1248)+1,""))</f>
        <v/>
      </c>
    </row>
    <row r="1250" spans="1:14" x14ac:dyDescent="0.25">
      <c r="A1250" s="21" t="s">
        <v>2648</v>
      </c>
      <c r="B1250" s="22" t="s">
        <v>2649</v>
      </c>
      <c r="C1250" s="21"/>
      <c r="N1250" t="str">
        <f>IF($B$1="","",IF(ISNUMBER(SEARCH($B$1,$A1250&amp;" "&amp;$B1250)),MAX($N$3:N1249)+1,""))</f>
        <v/>
      </c>
    </row>
    <row r="1251" spans="1:14" x14ac:dyDescent="0.25">
      <c r="A1251" s="21" t="s">
        <v>2650</v>
      </c>
      <c r="B1251" s="22" t="s">
        <v>2651</v>
      </c>
      <c r="C1251" s="21"/>
      <c r="N1251" t="str">
        <f>IF($B$1="","",IF(ISNUMBER(SEARCH($B$1,$A1251&amp;" "&amp;$B1251)),MAX($N$3:N1250)+1,""))</f>
        <v/>
      </c>
    </row>
    <row r="1252" spans="1:14" x14ac:dyDescent="0.25">
      <c r="A1252" s="21" t="s">
        <v>2652</v>
      </c>
      <c r="B1252" s="22" t="s">
        <v>2653</v>
      </c>
      <c r="C1252" s="21"/>
      <c r="N1252" t="str">
        <f>IF($B$1="","",IF(ISNUMBER(SEARCH($B$1,$A1252&amp;" "&amp;$B1252)),MAX($N$3:N1251)+1,""))</f>
        <v/>
      </c>
    </row>
    <row r="1253" spans="1:14" x14ac:dyDescent="0.25">
      <c r="A1253" s="21" t="s">
        <v>2654</v>
      </c>
      <c r="B1253" s="22" t="s">
        <v>2655</v>
      </c>
      <c r="C1253" s="21"/>
      <c r="N1253" t="str">
        <f>IF($B$1="","",IF(ISNUMBER(SEARCH($B$1,$A1253&amp;" "&amp;$B1253)),MAX($N$3:N1252)+1,""))</f>
        <v/>
      </c>
    </row>
    <row r="1254" spans="1:14" x14ac:dyDescent="0.25">
      <c r="A1254" s="21" t="s">
        <v>2656</v>
      </c>
      <c r="B1254" s="22" t="s">
        <v>2657</v>
      </c>
      <c r="C1254" s="21"/>
      <c r="N1254" t="str">
        <f>IF($B$1="","",IF(ISNUMBER(SEARCH($B$1,$A1254&amp;" "&amp;$B1254)),MAX($N$3:N1253)+1,""))</f>
        <v/>
      </c>
    </row>
    <row r="1255" spans="1:14" x14ac:dyDescent="0.25">
      <c r="A1255" s="21" t="s">
        <v>2658</v>
      </c>
      <c r="B1255" s="22" t="s">
        <v>2659</v>
      </c>
      <c r="C1255" s="21"/>
      <c r="N1255" t="str">
        <f>IF($B$1="","",IF(ISNUMBER(SEARCH($B$1,$A1255&amp;" "&amp;$B1255)),MAX($N$3:N1254)+1,""))</f>
        <v/>
      </c>
    </row>
    <row r="1256" spans="1:14" x14ac:dyDescent="0.25">
      <c r="A1256" s="21" t="s">
        <v>2660</v>
      </c>
      <c r="B1256" s="22" t="s">
        <v>2661</v>
      </c>
      <c r="C1256" s="21"/>
      <c r="N1256" t="str">
        <f>IF($B$1="","",IF(ISNUMBER(SEARCH($B$1,$A1256&amp;" "&amp;$B1256)),MAX($N$3:N1255)+1,""))</f>
        <v/>
      </c>
    </row>
    <row r="1257" spans="1:14" x14ac:dyDescent="0.25">
      <c r="A1257" s="21" t="s">
        <v>2662</v>
      </c>
      <c r="B1257" s="22" t="s">
        <v>2663</v>
      </c>
      <c r="C1257" s="21"/>
      <c r="N1257" t="str">
        <f>IF($B$1="","",IF(ISNUMBER(SEARCH($B$1,$A1257&amp;" "&amp;$B1257)),MAX($N$3:N1256)+1,""))</f>
        <v/>
      </c>
    </row>
    <row r="1258" spans="1:14" x14ac:dyDescent="0.25">
      <c r="A1258" s="21" t="s">
        <v>2664</v>
      </c>
      <c r="B1258" s="22" t="s">
        <v>2665</v>
      </c>
      <c r="C1258" s="21"/>
      <c r="N1258" t="str">
        <f>IF($B$1="","",IF(ISNUMBER(SEARCH($B$1,$A1258&amp;" "&amp;$B1258)),MAX($N$3:N1257)+1,""))</f>
        <v/>
      </c>
    </row>
    <row r="1259" spans="1:14" x14ac:dyDescent="0.25">
      <c r="A1259" s="21" t="s">
        <v>2666</v>
      </c>
      <c r="B1259" s="22" t="s">
        <v>2667</v>
      </c>
      <c r="C1259" s="21"/>
      <c r="N1259" t="str">
        <f>IF($B$1="","",IF(ISNUMBER(SEARCH($B$1,$A1259&amp;" "&amp;$B1259)),MAX($N$3:N1258)+1,""))</f>
        <v/>
      </c>
    </row>
    <row r="1260" spans="1:14" x14ac:dyDescent="0.25">
      <c r="A1260" s="21" t="s">
        <v>2668</v>
      </c>
      <c r="B1260" s="22" t="s">
        <v>2669</v>
      </c>
      <c r="C1260" s="21"/>
      <c r="N1260" t="str">
        <f>IF($B$1="","",IF(ISNUMBER(SEARCH($B$1,$A1260&amp;" "&amp;$B1260)),MAX($N$3:N1259)+1,""))</f>
        <v/>
      </c>
    </row>
    <row r="1261" spans="1:14" x14ac:dyDescent="0.25">
      <c r="A1261" s="21" t="s">
        <v>2670</v>
      </c>
      <c r="B1261" s="22" t="s">
        <v>26</v>
      </c>
      <c r="C1261" s="21"/>
      <c r="N1261" t="str">
        <f>IF($B$1="","",IF(ISNUMBER(SEARCH($B$1,$A1261&amp;" "&amp;$B1261)),MAX($N$3:N1260)+1,""))</f>
        <v/>
      </c>
    </row>
    <row r="1262" spans="1:14" x14ac:dyDescent="0.25">
      <c r="A1262" s="21" t="s">
        <v>2671</v>
      </c>
      <c r="B1262" s="22" t="s">
        <v>23</v>
      </c>
      <c r="C1262" s="21"/>
      <c r="N1262" t="str">
        <f>IF($B$1="","",IF(ISNUMBER(SEARCH($B$1,$A1262&amp;" "&amp;$B1262)),MAX($N$3:N1261)+1,""))</f>
        <v/>
      </c>
    </row>
    <row r="1263" spans="1:14" x14ac:dyDescent="0.25">
      <c r="A1263" s="21" t="s">
        <v>2672</v>
      </c>
      <c r="B1263" s="22" t="s">
        <v>2673</v>
      </c>
      <c r="C1263" s="21"/>
      <c r="N1263" t="str">
        <f>IF($B$1="","",IF(ISNUMBER(SEARCH($B$1,$A1263&amp;" "&amp;$B1263)),MAX($N$3:N1262)+1,""))</f>
        <v/>
      </c>
    </row>
    <row r="1264" spans="1:14" x14ac:dyDescent="0.25">
      <c r="A1264" s="21" t="s">
        <v>2674</v>
      </c>
      <c r="B1264" s="22" t="s">
        <v>19</v>
      </c>
      <c r="C1264" s="21"/>
      <c r="N1264" t="str">
        <f>IF($B$1="","",IF(ISNUMBER(SEARCH($B$1,$A1264&amp;" "&amp;$B1264)),MAX($N$3:N1263)+1,""))</f>
        <v/>
      </c>
    </row>
    <row r="1265" spans="1:14" x14ac:dyDescent="0.25">
      <c r="A1265" s="21" t="s">
        <v>2675</v>
      </c>
      <c r="B1265" s="22" t="s">
        <v>43</v>
      </c>
      <c r="C1265" s="21"/>
      <c r="N1265" t="str">
        <f>IF($B$1="","",IF(ISNUMBER(SEARCH($B$1,$A1265&amp;" "&amp;$B1265)),MAX($N$3:N1264)+1,""))</f>
        <v/>
      </c>
    </row>
    <row r="1266" spans="1:14" x14ac:dyDescent="0.25">
      <c r="A1266" s="21" t="s">
        <v>2676</v>
      </c>
      <c r="B1266" s="22" t="s">
        <v>2677</v>
      </c>
      <c r="C1266" s="21"/>
      <c r="N1266" t="str">
        <f>IF($B$1="","",IF(ISNUMBER(SEARCH($B$1,$A1266&amp;" "&amp;$B1266)),MAX($N$3:N1265)+1,""))</f>
        <v/>
      </c>
    </row>
    <row r="1267" spans="1:14" x14ac:dyDescent="0.25">
      <c r="A1267" s="21" t="s">
        <v>2678</v>
      </c>
      <c r="B1267" s="22" t="s">
        <v>2679</v>
      </c>
      <c r="C1267" s="21"/>
      <c r="N1267" t="str">
        <f>IF($B$1="","",IF(ISNUMBER(SEARCH($B$1,$A1267&amp;" "&amp;$B1267)),MAX($N$3:N1266)+1,""))</f>
        <v/>
      </c>
    </row>
    <row r="1268" spans="1:14" x14ac:dyDescent="0.25">
      <c r="A1268" s="21" t="s">
        <v>2680</v>
      </c>
      <c r="B1268" s="22" t="s">
        <v>2681</v>
      </c>
      <c r="C1268" s="21"/>
      <c r="N1268" t="str">
        <f>IF($B$1="","",IF(ISNUMBER(SEARCH($B$1,$A1268&amp;" "&amp;$B1268)),MAX($N$3:N1267)+1,""))</f>
        <v/>
      </c>
    </row>
    <row r="1269" spans="1:14" x14ac:dyDescent="0.25">
      <c r="A1269" s="21" t="s">
        <v>2682</v>
      </c>
      <c r="B1269" s="22" t="s">
        <v>2683</v>
      </c>
      <c r="C1269" s="21"/>
      <c r="N1269" t="str">
        <f>IF($B$1="","",IF(ISNUMBER(SEARCH($B$1,$A1269&amp;" "&amp;$B1269)),MAX($N$3:N1268)+1,""))</f>
        <v/>
      </c>
    </row>
    <row r="1270" spans="1:14" x14ac:dyDescent="0.25">
      <c r="A1270" s="21" t="s">
        <v>2684</v>
      </c>
      <c r="B1270" s="22" t="s">
        <v>2685</v>
      </c>
      <c r="C1270" s="21" t="s">
        <v>455</v>
      </c>
      <c r="N1270" t="str">
        <f>IF($B$1="","",IF(ISNUMBER(SEARCH($B$1,$A1270&amp;" "&amp;$B1270)),MAX($N$3:N1269)+1,""))</f>
        <v/>
      </c>
    </row>
    <row r="1271" spans="1:14" x14ac:dyDescent="0.25">
      <c r="A1271" s="21" t="s">
        <v>2686</v>
      </c>
      <c r="B1271" s="22" t="s">
        <v>2687</v>
      </c>
      <c r="C1271" s="21"/>
      <c r="N1271" t="str">
        <f>IF($B$1="","",IF(ISNUMBER(SEARCH($B$1,$A1271&amp;" "&amp;$B1271)),MAX($N$3:N1270)+1,""))</f>
        <v/>
      </c>
    </row>
    <row r="1272" spans="1:14" x14ac:dyDescent="0.25">
      <c r="A1272" s="21" t="s">
        <v>2688</v>
      </c>
      <c r="B1272" s="22" t="s">
        <v>2689</v>
      </c>
      <c r="C1272" s="21" t="s">
        <v>455</v>
      </c>
      <c r="N1272" t="str">
        <f>IF($B$1="","",IF(ISNUMBER(SEARCH($B$1,$A1272&amp;" "&amp;$B1272)),MAX($N$3:N1271)+1,""))</f>
        <v/>
      </c>
    </row>
    <row r="1273" spans="1:14" x14ac:dyDescent="0.25">
      <c r="A1273" s="21" t="s">
        <v>2690</v>
      </c>
      <c r="B1273" s="22" t="s">
        <v>2691</v>
      </c>
      <c r="C1273" s="21"/>
      <c r="N1273" t="str">
        <f>IF($B$1="","",IF(ISNUMBER(SEARCH($B$1,$A1273&amp;" "&amp;$B1273)),MAX($N$3:N1272)+1,""))</f>
        <v/>
      </c>
    </row>
    <row r="1274" spans="1:14" x14ac:dyDescent="0.25">
      <c r="A1274" s="21" t="s">
        <v>2692</v>
      </c>
      <c r="B1274" s="22" t="s">
        <v>2693</v>
      </c>
      <c r="C1274" s="21"/>
      <c r="N1274" t="str">
        <f>IF($B$1="","",IF(ISNUMBER(SEARCH($B$1,$A1274&amp;" "&amp;$B1274)),MAX($N$3:N1273)+1,""))</f>
        <v/>
      </c>
    </row>
    <row r="1275" spans="1:14" x14ac:dyDescent="0.25">
      <c r="A1275" s="21" t="s">
        <v>2694</v>
      </c>
      <c r="B1275" s="22" t="s">
        <v>2695</v>
      </c>
      <c r="C1275" s="21"/>
      <c r="N1275" t="str">
        <f>IF($B$1="","",IF(ISNUMBER(SEARCH($B$1,$A1275&amp;" "&amp;$B1275)),MAX($N$3:N1274)+1,""))</f>
        <v/>
      </c>
    </row>
    <row r="1276" spans="1:14" x14ac:dyDescent="0.25">
      <c r="A1276" s="21" t="s">
        <v>2696</v>
      </c>
      <c r="B1276" s="22" t="s">
        <v>2697</v>
      </c>
      <c r="C1276" s="21"/>
      <c r="N1276" t="str">
        <f>IF($B$1="","",IF(ISNUMBER(SEARCH($B$1,$A1276&amp;" "&amp;$B1276)),MAX($N$3:N1275)+1,""))</f>
        <v/>
      </c>
    </row>
    <row r="1277" spans="1:14" x14ac:dyDescent="0.25">
      <c r="A1277" s="21" t="s">
        <v>2698</v>
      </c>
      <c r="B1277" s="22" t="s">
        <v>2699</v>
      </c>
      <c r="C1277" s="21"/>
      <c r="N1277" t="str">
        <f>IF($B$1="","",IF(ISNUMBER(SEARCH($B$1,$A1277&amp;" "&amp;$B1277)),MAX($N$3:N1276)+1,""))</f>
        <v/>
      </c>
    </row>
    <row r="1278" spans="1:14" x14ac:dyDescent="0.25">
      <c r="A1278" s="21" t="s">
        <v>2700</v>
      </c>
      <c r="B1278" s="22" t="s">
        <v>2701</v>
      </c>
      <c r="C1278" s="21"/>
      <c r="N1278" t="str">
        <f>IF($B$1="","",IF(ISNUMBER(SEARCH($B$1,$A1278&amp;" "&amp;$B1278)),MAX($N$3:N1277)+1,""))</f>
        <v/>
      </c>
    </row>
    <row r="1279" spans="1:14" x14ac:dyDescent="0.25">
      <c r="A1279" s="21" t="s">
        <v>2702</v>
      </c>
      <c r="B1279" s="22" t="s">
        <v>2703</v>
      </c>
      <c r="C1279" s="21"/>
      <c r="N1279" t="str">
        <f>IF($B$1="","",IF(ISNUMBER(SEARCH($B$1,$A1279&amp;" "&amp;$B1279)),MAX($N$3:N1278)+1,""))</f>
        <v/>
      </c>
    </row>
    <row r="1280" spans="1:14" x14ac:dyDescent="0.25">
      <c r="A1280" s="21" t="s">
        <v>2704</v>
      </c>
      <c r="B1280" s="22" t="s">
        <v>2705</v>
      </c>
      <c r="C1280" s="21"/>
      <c r="N1280" t="str">
        <f>IF($B$1="","",IF(ISNUMBER(SEARCH($B$1,$A1280&amp;" "&amp;$B1280)),MAX($N$3:N1279)+1,""))</f>
        <v/>
      </c>
    </row>
    <row r="1281" spans="1:14" x14ac:dyDescent="0.25">
      <c r="A1281" s="21" t="s">
        <v>2706</v>
      </c>
      <c r="B1281" s="22" t="s">
        <v>2707</v>
      </c>
      <c r="C1281" s="21"/>
      <c r="N1281" t="str">
        <f>IF($B$1="","",IF(ISNUMBER(SEARCH($B$1,$A1281&amp;" "&amp;$B1281)),MAX($N$3:N1280)+1,""))</f>
        <v/>
      </c>
    </row>
    <row r="1282" spans="1:14" x14ac:dyDescent="0.25">
      <c r="A1282" s="21" t="s">
        <v>2708</v>
      </c>
      <c r="B1282" s="22" t="s">
        <v>2709</v>
      </c>
      <c r="C1282" s="21"/>
      <c r="N1282" t="str">
        <f>IF($B$1="","",IF(ISNUMBER(SEARCH($B$1,$A1282&amp;" "&amp;$B1282)),MAX($N$3:N1281)+1,""))</f>
        <v/>
      </c>
    </row>
    <row r="1283" spans="1:14" x14ac:dyDescent="0.25">
      <c r="A1283" s="21" t="s">
        <v>2710</v>
      </c>
      <c r="B1283" s="22" t="s">
        <v>2711</v>
      </c>
      <c r="C1283" s="21"/>
      <c r="N1283" t="str">
        <f>IF($B$1="","",IF(ISNUMBER(SEARCH($B$1,$A1283&amp;" "&amp;$B1283)),MAX($N$3:N1282)+1,""))</f>
        <v/>
      </c>
    </row>
    <row r="1284" spans="1:14" x14ac:dyDescent="0.25">
      <c r="A1284" s="21" t="s">
        <v>2712</v>
      </c>
      <c r="B1284" s="22" t="s">
        <v>2713</v>
      </c>
      <c r="C1284" s="21"/>
      <c r="N1284" t="str">
        <f>IF($B$1="","",IF(ISNUMBER(SEARCH($B$1,$A1284&amp;" "&amp;$B1284)),MAX($N$3:N1283)+1,""))</f>
        <v/>
      </c>
    </row>
    <row r="1285" spans="1:14" x14ac:dyDescent="0.25">
      <c r="A1285" s="21" t="s">
        <v>2714</v>
      </c>
      <c r="B1285" s="22" t="s">
        <v>2715</v>
      </c>
      <c r="C1285" s="21"/>
      <c r="N1285" t="str">
        <f>IF($B$1="","",IF(ISNUMBER(SEARCH($B$1,$A1285&amp;" "&amp;$B1285)),MAX($N$3:N1284)+1,""))</f>
        <v/>
      </c>
    </row>
    <row r="1286" spans="1:14" x14ac:dyDescent="0.25">
      <c r="A1286" s="21" t="s">
        <v>2716</v>
      </c>
      <c r="B1286" s="22" t="s">
        <v>2717</v>
      </c>
      <c r="C1286" s="21"/>
      <c r="N1286" t="str">
        <f>IF($B$1="","",IF(ISNUMBER(SEARCH($B$1,$A1286&amp;" "&amp;$B1286)),MAX($N$3:N1285)+1,""))</f>
        <v/>
      </c>
    </row>
    <row r="1287" spans="1:14" x14ac:dyDescent="0.25">
      <c r="A1287" s="21" t="s">
        <v>2718</v>
      </c>
      <c r="B1287" s="22" t="s">
        <v>2719</v>
      </c>
      <c r="C1287" s="21"/>
      <c r="N1287" t="str">
        <f>IF($B$1="","",IF(ISNUMBER(SEARCH($B$1,$A1287&amp;" "&amp;$B1287)),MAX($N$3:N1286)+1,""))</f>
        <v/>
      </c>
    </row>
    <row r="1288" spans="1:14" x14ac:dyDescent="0.25">
      <c r="A1288" s="21" t="s">
        <v>2720</v>
      </c>
      <c r="B1288" s="22" t="s">
        <v>2721</v>
      </c>
      <c r="C1288" s="21"/>
      <c r="N1288" t="str">
        <f>IF($B$1="","",IF(ISNUMBER(SEARCH($B$1,$A1288&amp;" "&amp;$B1288)),MAX($N$3:N1287)+1,""))</f>
        <v/>
      </c>
    </row>
    <row r="1289" spans="1:14" x14ac:dyDescent="0.25">
      <c r="A1289" s="21" t="s">
        <v>2722</v>
      </c>
      <c r="B1289" s="22" t="s">
        <v>2723</v>
      </c>
      <c r="C1289" s="21"/>
      <c r="N1289" t="str">
        <f>IF($B$1="","",IF(ISNUMBER(SEARCH($B$1,$A1289&amp;" "&amp;$B1289)),MAX($N$3:N1288)+1,""))</f>
        <v/>
      </c>
    </row>
    <row r="1290" spans="1:14" x14ac:dyDescent="0.25">
      <c r="A1290" s="21" t="s">
        <v>2724</v>
      </c>
      <c r="B1290" s="22" t="s">
        <v>2725</v>
      </c>
      <c r="C1290" s="21"/>
      <c r="N1290" t="str">
        <f>IF($B$1="","",IF(ISNUMBER(SEARCH($B$1,$A1290&amp;" "&amp;$B1290)),MAX($N$3:N1289)+1,""))</f>
        <v/>
      </c>
    </row>
    <row r="1291" spans="1:14" x14ac:dyDescent="0.25">
      <c r="A1291" s="21" t="s">
        <v>2726</v>
      </c>
      <c r="B1291" s="22" t="s">
        <v>2727</v>
      </c>
      <c r="C1291" s="21"/>
      <c r="N1291" t="str">
        <f>IF($B$1="","",IF(ISNUMBER(SEARCH($B$1,$A1291&amp;" "&amp;$B1291)),MAX($N$3:N1290)+1,""))</f>
        <v/>
      </c>
    </row>
    <row r="1292" spans="1:14" x14ac:dyDescent="0.25">
      <c r="A1292" s="21" t="s">
        <v>2728</v>
      </c>
      <c r="B1292" s="22" t="s">
        <v>2729</v>
      </c>
      <c r="C1292" s="21"/>
      <c r="N1292" t="str">
        <f>IF($B$1="","",IF(ISNUMBER(SEARCH($B$1,$A1292&amp;" "&amp;$B1292)),MAX($N$3:N1291)+1,""))</f>
        <v/>
      </c>
    </row>
    <row r="1293" spans="1:14" x14ac:dyDescent="0.25">
      <c r="A1293" s="21" t="s">
        <v>2730</v>
      </c>
      <c r="B1293" s="22" t="s">
        <v>2731</v>
      </c>
      <c r="C1293" s="21"/>
      <c r="N1293" t="str">
        <f>IF($B$1="","",IF(ISNUMBER(SEARCH($B$1,$A1293&amp;" "&amp;$B1293)),MAX($N$3:N1292)+1,""))</f>
        <v/>
      </c>
    </row>
    <row r="1294" spans="1:14" x14ac:dyDescent="0.25">
      <c r="A1294" s="21" t="s">
        <v>2732</v>
      </c>
      <c r="B1294" s="22" t="s">
        <v>2733</v>
      </c>
      <c r="C1294" s="21"/>
      <c r="N1294" t="str">
        <f>IF($B$1="","",IF(ISNUMBER(SEARCH($B$1,$A1294&amp;" "&amp;$B1294)),MAX($N$3:N1293)+1,""))</f>
        <v/>
      </c>
    </row>
    <row r="1295" spans="1:14" x14ac:dyDescent="0.25">
      <c r="A1295" s="21" t="s">
        <v>2734</v>
      </c>
      <c r="B1295" s="22" t="s">
        <v>2735</v>
      </c>
      <c r="C1295" s="21"/>
      <c r="N1295" t="str">
        <f>IF($B$1="","",IF(ISNUMBER(SEARCH($B$1,$A1295&amp;" "&amp;$B1295)),MAX($N$3:N1294)+1,""))</f>
        <v/>
      </c>
    </row>
    <row r="1296" spans="1:14" x14ac:dyDescent="0.25">
      <c r="A1296" s="21" t="s">
        <v>2736</v>
      </c>
      <c r="B1296" s="22" t="s">
        <v>2737</v>
      </c>
      <c r="C1296" s="21"/>
      <c r="N1296" t="str">
        <f>IF($B$1="","",IF(ISNUMBER(SEARCH($B$1,$A1296&amp;" "&amp;$B1296)),MAX($N$3:N1295)+1,""))</f>
        <v/>
      </c>
    </row>
    <row r="1297" spans="1:14" x14ac:dyDescent="0.25">
      <c r="A1297" s="21" t="s">
        <v>2738</v>
      </c>
      <c r="B1297" s="22" t="s">
        <v>2739</v>
      </c>
      <c r="C1297" s="21"/>
      <c r="N1297" t="str">
        <f>IF($B$1="","",IF(ISNUMBER(SEARCH($B$1,$A1297&amp;" "&amp;$B1297)),MAX($N$3:N1296)+1,""))</f>
        <v/>
      </c>
    </row>
    <row r="1298" spans="1:14" x14ac:dyDescent="0.25">
      <c r="A1298" s="21" t="s">
        <v>2740</v>
      </c>
      <c r="B1298" s="22" t="s">
        <v>2741</v>
      </c>
      <c r="C1298" s="21"/>
      <c r="N1298" t="str">
        <f>IF($B$1="","",IF(ISNUMBER(SEARCH($B$1,$A1298&amp;" "&amp;$B1298)),MAX($N$3:N1297)+1,""))</f>
        <v/>
      </c>
    </row>
    <row r="1299" spans="1:14" x14ac:dyDescent="0.25">
      <c r="A1299" s="21" t="s">
        <v>2742</v>
      </c>
      <c r="B1299" s="22" t="s">
        <v>2743</v>
      </c>
      <c r="C1299" s="21"/>
      <c r="N1299" t="str">
        <f>IF($B$1="","",IF(ISNUMBER(SEARCH($B$1,$A1299&amp;" "&amp;$B1299)),MAX($N$3:N1298)+1,""))</f>
        <v/>
      </c>
    </row>
    <row r="1300" spans="1:14" x14ac:dyDescent="0.25">
      <c r="A1300" s="21" t="s">
        <v>2744</v>
      </c>
      <c r="B1300" s="22" t="s">
        <v>2745</v>
      </c>
      <c r="C1300" s="21"/>
      <c r="N1300" t="str">
        <f>IF($B$1="","",IF(ISNUMBER(SEARCH($B$1,$A1300&amp;" "&amp;$B1300)),MAX($N$3:N1299)+1,""))</f>
        <v/>
      </c>
    </row>
    <row r="1301" spans="1:14" x14ac:dyDescent="0.25">
      <c r="A1301" s="21" t="s">
        <v>2746</v>
      </c>
      <c r="B1301" s="22" t="s">
        <v>2747</v>
      </c>
      <c r="C1301" s="21"/>
      <c r="N1301" t="str">
        <f>IF($B$1="","",IF(ISNUMBER(SEARCH($B$1,$A1301&amp;" "&amp;$B1301)),MAX($N$3:N1300)+1,""))</f>
        <v/>
      </c>
    </row>
    <row r="1302" spans="1:14" x14ac:dyDescent="0.25">
      <c r="A1302" s="21" t="s">
        <v>2748</v>
      </c>
      <c r="B1302" s="22" t="s">
        <v>2749</v>
      </c>
      <c r="C1302" s="21"/>
      <c r="N1302" t="str">
        <f>IF($B$1="","",IF(ISNUMBER(SEARCH($B$1,$A1302&amp;" "&amp;$B1302)),MAX($N$3:N1301)+1,""))</f>
        <v/>
      </c>
    </row>
    <row r="1303" spans="1:14" x14ac:dyDescent="0.25">
      <c r="A1303" s="21" t="s">
        <v>2750</v>
      </c>
      <c r="B1303" s="22" t="s">
        <v>2751</v>
      </c>
      <c r="C1303" s="21"/>
      <c r="N1303" t="str">
        <f>IF($B$1="","",IF(ISNUMBER(SEARCH($B$1,$A1303&amp;" "&amp;$B1303)),MAX($N$3:N1302)+1,""))</f>
        <v/>
      </c>
    </row>
    <row r="1304" spans="1:14" x14ac:dyDescent="0.25">
      <c r="A1304" s="21" t="s">
        <v>2752</v>
      </c>
      <c r="B1304" s="22" t="s">
        <v>2753</v>
      </c>
      <c r="C1304" s="21"/>
      <c r="N1304" t="str">
        <f>IF($B$1="","",IF(ISNUMBER(SEARCH($B$1,$A1304&amp;" "&amp;$B1304)),MAX($N$3:N1303)+1,""))</f>
        <v/>
      </c>
    </row>
    <row r="1305" spans="1:14" x14ac:dyDescent="0.25">
      <c r="A1305" s="21" t="s">
        <v>2754</v>
      </c>
      <c r="B1305" s="22" t="s">
        <v>2755</v>
      </c>
      <c r="C1305" s="21"/>
      <c r="N1305" t="str">
        <f>IF($B$1="","",IF(ISNUMBER(SEARCH($B$1,$A1305&amp;" "&amp;$B1305)),MAX($N$3:N1304)+1,""))</f>
        <v/>
      </c>
    </row>
    <row r="1306" spans="1:14" x14ac:dyDescent="0.25">
      <c r="A1306" s="21" t="s">
        <v>2756</v>
      </c>
      <c r="B1306" s="22" t="s">
        <v>2757</v>
      </c>
      <c r="C1306" s="21"/>
      <c r="N1306" t="str">
        <f>IF($B$1="","",IF(ISNUMBER(SEARCH($B$1,$A1306&amp;" "&amp;$B1306)),MAX($N$3:N1305)+1,""))</f>
        <v/>
      </c>
    </row>
    <row r="1307" spans="1:14" x14ac:dyDescent="0.25">
      <c r="A1307" s="21" t="s">
        <v>2758</v>
      </c>
      <c r="B1307" s="22" t="s">
        <v>2759</v>
      </c>
      <c r="C1307" s="21"/>
      <c r="N1307" t="str">
        <f>IF($B$1="","",IF(ISNUMBER(SEARCH($B$1,$A1307&amp;" "&amp;$B1307)),MAX($N$3:N1306)+1,""))</f>
        <v/>
      </c>
    </row>
    <row r="1308" spans="1:14" x14ac:dyDescent="0.25">
      <c r="A1308" s="21" t="s">
        <v>2760</v>
      </c>
      <c r="B1308" s="22" t="s">
        <v>2761</v>
      </c>
      <c r="C1308" s="21"/>
      <c r="N1308" t="str">
        <f>IF($B$1="","",IF(ISNUMBER(SEARCH($B$1,$A1308&amp;" "&amp;$B1308)),MAX($N$3:N1307)+1,""))</f>
        <v/>
      </c>
    </row>
    <row r="1309" spans="1:14" x14ac:dyDescent="0.25">
      <c r="A1309" s="21" t="s">
        <v>2762</v>
      </c>
      <c r="B1309" s="22" t="s">
        <v>2763</v>
      </c>
      <c r="C1309" s="21"/>
      <c r="N1309" t="str">
        <f>IF($B$1="","",IF(ISNUMBER(SEARCH($B$1,$A1309&amp;" "&amp;$B1309)),MAX($N$3:N1308)+1,""))</f>
        <v/>
      </c>
    </row>
    <row r="1310" spans="1:14" x14ac:dyDescent="0.25">
      <c r="A1310" s="21" t="s">
        <v>2764</v>
      </c>
      <c r="B1310" s="22" t="s">
        <v>2765</v>
      </c>
      <c r="C1310" s="21"/>
      <c r="N1310" t="str">
        <f>IF($B$1="","",IF(ISNUMBER(SEARCH($B$1,$A1310&amp;" "&amp;$B1310)),MAX($N$3:N1309)+1,""))</f>
        <v/>
      </c>
    </row>
    <row r="1311" spans="1:14" x14ac:dyDescent="0.25">
      <c r="A1311" s="21" t="s">
        <v>2766</v>
      </c>
      <c r="B1311" s="22" t="s">
        <v>2767</v>
      </c>
      <c r="C1311" s="21"/>
      <c r="N1311" t="str">
        <f>IF($B$1="","",IF(ISNUMBER(SEARCH($B$1,$A1311&amp;" "&amp;$B1311)),MAX($N$3:N1310)+1,""))</f>
        <v/>
      </c>
    </row>
    <row r="1312" spans="1:14" x14ac:dyDescent="0.25">
      <c r="A1312" s="21" t="s">
        <v>2768</v>
      </c>
      <c r="B1312" s="22" t="s">
        <v>2769</v>
      </c>
      <c r="C1312" s="21"/>
      <c r="N1312" t="str">
        <f>IF($B$1="","",IF(ISNUMBER(SEARCH($B$1,$A1312&amp;" "&amp;$B1312)),MAX($N$3:N1311)+1,""))</f>
        <v/>
      </c>
    </row>
    <row r="1313" spans="1:14" x14ac:dyDescent="0.25">
      <c r="A1313" s="21" t="s">
        <v>2770</v>
      </c>
      <c r="B1313" s="22" t="s">
        <v>2771</v>
      </c>
      <c r="C1313" s="21"/>
      <c r="N1313" t="str">
        <f>IF($B$1="","",IF(ISNUMBER(SEARCH($B$1,$A1313&amp;" "&amp;$B1313)),MAX($N$3:N1312)+1,""))</f>
        <v/>
      </c>
    </row>
    <row r="1314" spans="1:14" x14ac:dyDescent="0.25">
      <c r="A1314" s="21" t="s">
        <v>2772</v>
      </c>
      <c r="B1314" s="22" t="s">
        <v>2773</v>
      </c>
      <c r="C1314" s="21"/>
      <c r="N1314" t="str">
        <f>IF($B$1="","",IF(ISNUMBER(SEARCH($B$1,$A1314&amp;" "&amp;$B1314)),MAX($N$3:N1313)+1,""))</f>
        <v/>
      </c>
    </row>
    <row r="1315" spans="1:14" x14ac:dyDescent="0.25">
      <c r="A1315" s="21" t="s">
        <v>2774</v>
      </c>
      <c r="B1315" s="22" t="s">
        <v>2775</v>
      </c>
      <c r="C1315" s="21"/>
      <c r="N1315" t="str">
        <f>IF($B$1="","",IF(ISNUMBER(SEARCH($B$1,$A1315&amp;" "&amp;$B1315)),MAX($N$3:N1314)+1,""))</f>
        <v/>
      </c>
    </row>
    <row r="1316" spans="1:14" x14ac:dyDescent="0.25">
      <c r="A1316" s="21" t="s">
        <v>2776</v>
      </c>
      <c r="B1316" s="22" t="s">
        <v>2777</v>
      </c>
      <c r="C1316" s="21"/>
      <c r="N1316" t="str">
        <f>IF($B$1="","",IF(ISNUMBER(SEARCH($B$1,$A1316&amp;" "&amp;$B1316)),MAX($N$3:N1315)+1,""))</f>
        <v/>
      </c>
    </row>
    <row r="1317" spans="1:14" x14ac:dyDescent="0.25">
      <c r="A1317" s="21" t="s">
        <v>2778</v>
      </c>
      <c r="B1317" s="22" t="s">
        <v>2779</v>
      </c>
      <c r="C1317" s="21"/>
      <c r="N1317" t="str">
        <f>IF($B$1="","",IF(ISNUMBER(SEARCH($B$1,$A1317&amp;" "&amp;$B1317)),MAX($N$3:N1316)+1,""))</f>
        <v/>
      </c>
    </row>
    <row r="1318" spans="1:14" x14ac:dyDescent="0.25">
      <c r="A1318" s="21" t="s">
        <v>2780</v>
      </c>
      <c r="B1318" s="22" t="s">
        <v>2781</v>
      </c>
      <c r="C1318" s="21"/>
      <c r="N1318" t="str">
        <f>IF($B$1="","",IF(ISNUMBER(SEARCH($B$1,$A1318&amp;" "&amp;$B1318)),MAX($N$3:N1317)+1,""))</f>
        <v/>
      </c>
    </row>
    <row r="1319" spans="1:14" x14ac:dyDescent="0.25">
      <c r="A1319" s="21" t="s">
        <v>2782</v>
      </c>
      <c r="B1319" s="22" t="s">
        <v>2783</v>
      </c>
      <c r="C1319" s="21"/>
      <c r="N1319" t="str">
        <f>IF($B$1="","",IF(ISNUMBER(SEARCH($B$1,$A1319&amp;" "&amp;$B1319)),MAX($N$3:N1318)+1,""))</f>
        <v/>
      </c>
    </row>
    <row r="1320" spans="1:14" x14ac:dyDescent="0.25">
      <c r="A1320" s="21" t="s">
        <v>2784</v>
      </c>
      <c r="B1320" s="22" t="s">
        <v>2785</v>
      </c>
      <c r="C1320" s="21"/>
      <c r="N1320" t="str">
        <f>IF($B$1="","",IF(ISNUMBER(SEARCH($B$1,$A1320&amp;" "&amp;$B1320)),MAX($N$3:N1319)+1,""))</f>
        <v/>
      </c>
    </row>
    <row r="1321" spans="1:14" x14ac:dyDescent="0.25">
      <c r="A1321" s="21" t="s">
        <v>2786</v>
      </c>
      <c r="B1321" s="22" t="s">
        <v>2787</v>
      </c>
      <c r="C1321" s="21"/>
      <c r="N1321" t="str">
        <f>IF($B$1="","",IF(ISNUMBER(SEARCH($B$1,$A1321&amp;" "&amp;$B1321)),MAX($N$3:N1320)+1,""))</f>
        <v/>
      </c>
    </row>
    <row r="1322" spans="1:14" x14ac:dyDescent="0.25">
      <c r="A1322" s="21" t="s">
        <v>2788</v>
      </c>
      <c r="B1322" s="22" t="s">
        <v>2789</v>
      </c>
      <c r="C1322" s="21"/>
      <c r="N1322" t="str">
        <f>IF($B$1="","",IF(ISNUMBER(SEARCH($B$1,$A1322&amp;" "&amp;$B1322)),MAX($N$3:N1321)+1,""))</f>
        <v/>
      </c>
    </row>
    <row r="1323" spans="1:14" x14ac:dyDescent="0.25">
      <c r="A1323" s="21" t="s">
        <v>2790</v>
      </c>
      <c r="B1323" s="22" t="s">
        <v>2791</v>
      </c>
      <c r="C1323" s="21"/>
      <c r="N1323" t="str">
        <f>IF($B$1="","",IF(ISNUMBER(SEARCH($B$1,$A1323&amp;" "&amp;$B1323)),MAX($N$3:N1322)+1,""))</f>
        <v/>
      </c>
    </row>
    <row r="1324" spans="1:14" x14ac:dyDescent="0.25">
      <c r="A1324" s="21" t="s">
        <v>2792</v>
      </c>
      <c r="B1324" s="22" t="s">
        <v>2793</v>
      </c>
      <c r="C1324" s="21"/>
      <c r="N1324" t="str">
        <f>IF($B$1="","",IF(ISNUMBER(SEARCH($B$1,$A1324&amp;" "&amp;$B1324)),MAX($N$3:N1323)+1,""))</f>
        <v/>
      </c>
    </row>
    <row r="1325" spans="1:14" x14ac:dyDescent="0.25">
      <c r="A1325" s="21" t="s">
        <v>2794</v>
      </c>
      <c r="B1325" s="22" t="s">
        <v>2795</v>
      </c>
      <c r="C1325" s="21"/>
      <c r="N1325" t="str">
        <f>IF($B$1="","",IF(ISNUMBER(SEARCH($B$1,$A1325&amp;" "&amp;$B1325)),MAX($N$3:N1324)+1,""))</f>
        <v/>
      </c>
    </row>
    <row r="1326" spans="1:14" x14ac:dyDescent="0.25">
      <c r="A1326" s="21" t="s">
        <v>2796</v>
      </c>
      <c r="B1326" s="22" t="s">
        <v>2797</v>
      </c>
      <c r="C1326" s="21"/>
      <c r="N1326" t="str">
        <f>IF($B$1="","",IF(ISNUMBER(SEARCH($B$1,$A1326&amp;" "&amp;$B1326)),MAX($N$3:N1325)+1,""))</f>
        <v/>
      </c>
    </row>
    <row r="1327" spans="1:14" x14ac:dyDescent="0.25">
      <c r="A1327" s="21" t="s">
        <v>2798</v>
      </c>
      <c r="B1327" s="22" t="s">
        <v>2799</v>
      </c>
      <c r="C1327" s="21"/>
      <c r="N1327" t="str">
        <f>IF($B$1="","",IF(ISNUMBER(SEARCH($B$1,$A1327&amp;" "&amp;$B1327)),MAX($N$3:N1326)+1,""))</f>
        <v/>
      </c>
    </row>
    <row r="1328" spans="1:14" x14ac:dyDescent="0.25">
      <c r="A1328" s="21" t="s">
        <v>2800</v>
      </c>
      <c r="B1328" s="22" t="s">
        <v>2801</v>
      </c>
      <c r="C1328" s="21"/>
      <c r="N1328" t="str">
        <f>IF($B$1="","",IF(ISNUMBER(SEARCH($B$1,$A1328&amp;" "&amp;$B1328)),MAX($N$3:N1327)+1,""))</f>
        <v/>
      </c>
    </row>
    <row r="1329" spans="1:14" x14ac:dyDescent="0.25">
      <c r="A1329" s="21" t="s">
        <v>2802</v>
      </c>
      <c r="B1329" s="22" t="s">
        <v>2803</v>
      </c>
      <c r="C1329" s="21"/>
      <c r="N1329" t="str">
        <f>IF($B$1="","",IF(ISNUMBER(SEARCH($B$1,$A1329&amp;" "&amp;$B1329)),MAX($N$3:N1328)+1,""))</f>
        <v/>
      </c>
    </row>
    <row r="1330" spans="1:14" x14ac:dyDescent="0.25">
      <c r="A1330" s="21" t="s">
        <v>2804</v>
      </c>
      <c r="B1330" s="22" t="s">
        <v>2805</v>
      </c>
      <c r="C1330" s="21"/>
      <c r="N1330" t="str">
        <f>IF($B$1="","",IF(ISNUMBER(SEARCH($B$1,$A1330&amp;" "&amp;$B1330)),MAX($N$3:N1329)+1,""))</f>
        <v/>
      </c>
    </row>
    <row r="1331" spans="1:14" x14ac:dyDescent="0.25">
      <c r="A1331" s="21" t="s">
        <v>2806</v>
      </c>
      <c r="B1331" s="22" t="s">
        <v>2807</v>
      </c>
      <c r="C1331" s="21"/>
      <c r="N1331" t="str">
        <f>IF($B$1="","",IF(ISNUMBER(SEARCH($B$1,$A1331&amp;" "&amp;$B1331)),MAX($N$3:N1330)+1,""))</f>
        <v/>
      </c>
    </row>
    <row r="1332" spans="1:14" x14ac:dyDescent="0.25">
      <c r="A1332" s="21" t="s">
        <v>2808</v>
      </c>
      <c r="B1332" s="22" t="s">
        <v>2809</v>
      </c>
      <c r="C1332" s="21"/>
      <c r="N1332" t="str">
        <f>IF($B$1="","",IF(ISNUMBER(SEARCH($B$1,$A1332&amp;" "&amp;$B1332)),MAX($N$3:N1331)+1,""))</f>
        <v/>
      </c>
    </row>
    <row r="1333" spans="1:14" x14ac:dyDescent="0.25">
      <c r="A1333" s="21" t="s">
        <v>2810</v>
      </c>
      <c r="B1333" s="22" t="s">
        <v>2811</v>
      </c>
      <c r="C1333" s="21"/>
      <c r="N1333" t="str">
        <f>IF($B$1="","",IF(ISNUMBER(SEARCH($B$1,$A1333&amp;" "&amp;$B1333)),MAX($N$3:N1332)+1,""))</f>
        <v/>
      </c>
    </row>
    <row r="1334" spans="1:14" x14ac:dyDescent="0.25">
      <c r="A1334" s="21" t="s">
        <v>2812</v>
      </c>
      <c r="B1334" s="22" t="s">
        <v>2813</v>
      </c>
      <c r="C1334" s="21"/>
      <c r="N1334" t="str">
        <f>IF($B$1="","",IF(ISNUMBER(SEARCH($B$1,$A1334&amp;" "&amp;$B1334)),MAX($N$3:N1333)+1,""))</f>
        <v/>
      </c>
    </row>
    <row r="1335" spans="1:14" x14ac:dyDescent="0.25">
      <c r="A1335" s="21" t="s">
        <v>2814</v>
      </c>
      <c r="B1335" s="22" t="s">
        <v>2815</v>
      </c>
      <c r="C1335" s="21"/>
      <c r="N1335" t="str">
        <f>IF($B$1="","",IF(ISNUMBER(SEARCH($B$1,$A1335&amp;" "&amp;$B1335)),MAX($N$3:N1334)+1,""))</f>
        <v/>
      </c>
    </row>
    <row r="1336" spans="1:14" x14ac:dyDescent="0.25">
      <c r="A1336" s="21" t="s">
        <v>2816</v>
      </c>
      <c r="B1336" s="22" t="s">
        <v>2817</v>
      </c>
      <c r="C1336" s="21"/>
      <c r="N1336" t="str">
        <f>IF($B$1="","",IF(ISNUMBER(SEARCH($B$1,$A1336&amp;" "&amp;$B1336)),MAX($N$3:N1335)+1,""))</f>
        <v/>
      </c>
    </row>
    <row r="1337" spans="1:14" x14ac:dyDescent="0.25">
      <c r="A1337" s="21" t="s">
        <v>2818</v>
      </c>
      <c r="B1337" s="22" t="s">
        <v>2819</v>
      </c>
      <c r="C1337" s="21"/>
      <c r="N1337" t="str">
        <f>IF($B$1="","",IF(ISNUMBER(SEARCH($B$1,$A1337&amp;" "&amp;$B1337)),MAX($N$3:N1336)+1,""))</f>
        <v/>
      </c>
    </row>
    <row r="1338" spans="1:14" x14ac:dyDescent="0.25">
      <c r="A1338" s="21" t="s">
        <v>2820</v>
      </c>
      <c r="B1338" s="22" t="s">
        <v>2821</v>
      </c>
      <c r="C1338" s="21"/>
      <c r="N1338" t="str">
        <f>IF($B$1="","",IF(ISNUMBER(SEARCH($B$1,$A1338&amp;" "&amp;$B1338)),MAX($N$3:N1337)+1,""))</f>
        <v/>
      </c>
    </row>
    <row r="1339" spans="1:14" x14ac:dyDescent="0.25">
      <c r="A1339" s="21" t="s">
        <v>2822</v>
      </c>
      <c r="B1339" s="22" t="s">
        <v>2823</v>
      </c>
      <c r="C1339" s="21"/>
      <c r="N1339" t="str">
        <f>IF($B$1="","",IF(ISNUMBER(SEARCH($B$1,$A1339&amp;" "&amp;$B1339)),MAX($N$3:N1338)+1,""))</f>
        <v/>
      </c>
    </row>
    <row r="1340" spans="1:14" x14ac:dyDescent="0.25">
      <c r="A1340" s="21" t="s">
        <v>2824</v>
      </c>
      <c r="B1340" s="22" t="s">
        <v>2825</v>
      </c>
      <c r="C1340" s="21"/>
      <c r="N1340" t="str">
        <f>IF($B$1="","",IF(ISNUMBER(SEARCH($B$1,$A1340&amp;" "&amp;$B1340)),MAX($N$3:N1339)+1,""))</f>
        <v/>
      </c>
    </row>
    <row r="1341" spans="1:14" x14ac:dyDescent="0.25">
      <c r="A1341" s="21" t="s">
        <v>2826</v>
      </c>
      <c r="B1341" s="22" t="s">
        <v>2827</v>
      </c>
      <c r="C1341" s="21"/>
      <c r="N1341" t="str">
        <f>IF($B$1="","",IF(ISNUMBER(SEARCH($B$1,$A1341&amp;" "&amp;$B1341)),MAX($N$3:N1340)+1,""))</f>
        <v/>
      </c>
    </row>
    <row r="1342" spans="1:14" x14ac:dyDescent="0.25">
      <c r="A1342" s="21" t="s">
        <v>2828</v>
      </c>
      <c r="B1342" s="22" t="s">
        <v>2829</v>
      </c>
      <c r="C1342" s="21"/>
      <c r="N1342" t="str">
        <f>IF($B$1="","",IF(ISNUMBER(SEARCH($B$1,$A1342&amp;" "&amp;$B1342)),MAX($N$3:N1341)+1,""))</f>
        <v/>
      </c>
    </row>
    <row r="1343" spans="1:14" x14ac:dyDescent="0.25">
      <c r="A1343" s="21" t="s">
        <v>2830</v>
      </c>
      <c r="B1343" s="22" t="s">
        <v>2831</v>
      </c>
      <c r="C1343" s="21"/>
      <c r="N1343" t="str">
        <f>IF($B$1="","",IF(ISNUMBER(SEARCH($B$1,$A1343&amp;" "&amp;$B1343)),MAX($N$3:N1342)+1,""))</f>
        <v/>
      </c>
    </row>
    <row r="1344" spans="1:14" x14ac:dyDescent="0.25">
      <c r="A1344" s="21" t="s">
        <v>2832</v>
      </c>
      <c r="B1344" s="22" t="s">
        <v>2833</v>
      </c>
      <c r="C1344" s="21"/>
      <c r="N1344" t="str">
        <f>IF($B$1="","",IF(ISNUMBER(SEARCH($B$1,$A1344&amp;" "&amp;$B1344)),MAX($N$3:N1343)+1,""))</f>
        <v/>
      </c>
    </row>
    <row r="1345" spans="1:14" x14ac:dyDescent="0.25">
      <c r="A1345" s="21" t="s">
        <v>2834</v>
      </c>
      <c r="B1345" s="22" t="s">
        <v>2835</v>
      </c>
      <c r="C1345" s="21"/>
      <c r="N1345" t="str">
        <f>IF($B$1="","",IF(ISNUMBER(SEARCH($B$1,$A1345&amp;" "&amp;$B1345)),MAX($N$3:N1344)+1,""))</f>
        <v/>
      </c>
    </row>
  </sheetData>
  <sheetProtection sheet="1" sort="0" autoFilter="0"/>
  <autoFilter ref="A3:C1345"/>
  <mergeCells count="1">
    <mergeCell ref="C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3"/>
  <sheetViews>
    <sheetView workbookViewId="0"/>
  </sheetViews>
  <sheetFormatPr defaultRowHeight="15" x14ac:dyDescent="0.25"/>
  <sheetData>
    <row r="1" spans="1:12" x14ac:dyDescent="0.25">
      <c r="A1" s="7" t="s">
        <v>2836</v>
      </c>
      <c r="B1" s="7" t="s">
        <v>1586</v>
      </c>
      <c r="C1" s="7" t="s">
        <v>1981</v>
      </c>
      <c r="D1" s="7" t="s">
        <v>2251</v>
      </c>
      <c r="E1" s="7" t="s">
        <v>2643</v>
      </c>
      <c r="F1" s="7" t="s">
        <v>2684</v>
      </c>
      <c r="G1" s="7" t="s">
        <v>2688</v>
      </c>
      <c r="H1" s="7" t="s">
        <v>2595</v>
      </c>
      <c r="I1" s="7" t="s">
        <v>453</v>
      </c>
      <c r="J1" s="7" t="s">
        <v>620</v>
      </c>
      <c r="K1" s="7" t="s">
        <v>775</v>
      </c>
      <c r="L1" s="7" t="s">
        <v>2078</v>
      </c>
    </row>
    <row r="2" spans="1:12" x14ac:dyDescent="0.25">
      <c r="B2" t="s">
        <v>2837</v>
      </c>
      <c r="C2" t="s">
        <v>2838</v>
      </c>
      <c r="D2" t="s">
        <v>2839</v>
      </c>
      <c r="E2" t="s">
        <v>2840</v>
      </c>
      <c r="F2" t="s">
        <v>2841</v>
      </c>
      <c r="G2" t="s">
        <v>2842</v>
      </c>
      <c r="H2" t="s">
        <v>2843</v>
      </c>
      <c r="I2" t="s">
        <v>2844</v>
      </c>
      <c r="J2" t="s">
        <v>2845</v>
      </c>
      <c r="K2" t="s">
        <v>2846</v>
      </c>
      <c r="L2" t="s">
        <v>2847</v>
      </c>
    </row>
    <row r="3" spans="1:12" x14ac:dyDescent="0.25">
      <c r="B3" t="s">
        <v>2848</v>
      </c>
      <c r="C3" t="s">
        <v>2849</v>
      </c>
      <c r="D3" t="s">
        <v>2850</v>
      </c>
      <c r="E3" t="s">
        <v>2851</v>
      </c>
      <c r="F3" t="s">
        <v>2852</v>
      </c>
      <c r="G3" t="s">
        <v>2853</v>
      </c>
      <c r="H3" t="s">
        <v>2854</v>
      </c>
      <c r="J3" t="s">
        <v>2855</v>
      </c>
      <c r="K3" t="s">
        <v>2856</v>
      </c>
      <c r="L3" t="s">
        <v>2857</v>
      </c>
    </row>
    <row r="4" spans="1:12" x14ac:dyDescent="0.25">
      <c r="B4" t="s">
        <v>2858</v>
      </c>
      <c r="C4" t="s">
        <v>2859</v>
      </c>
      <c r="D4" t="s">
        <v>2860</v>
      </c>
      <c r="E4" t="s">
        <v>2861</v>
      </c>
      <c r="F4" t="s">
        <v>2862</v>
      </c>
      <c r="G4" t="s">
        <v>2863</v>
      </c>
      <c r="H4" t="s">
        <v>2864</v>
      </c>
      <c r="J4" t="s">
        <v>2865</v>
      </c>
      <c r="K4" t="s">
        <v>2866</v>
      </c>
      <c r="L4" t="s">
        <v>2867</v>
      </c>
    </row>
    <row r="5" spans="1:12" x14ac:dyDescent="0.25">
      <c r="B5" t="s">
        <v>2868</v>
      </c>
      <c r="C5" t="s">
        <v>2869</v>
      </c>
      <c r="D5" t="s">
        <v>2870</v>
      </c>
      <c r="E5" t="s">
        <v>2871</v>
      </c>
      <c r="F5" t="s">
        <v>2872</v>
      </c>
      <c r="G5" t="s">
        <v>2873</v>
      </c>
      <c r="H5" t="s">
        <v>2874</v>
      </c>
      <c r="J5" t="s">
        <v>2875</v>
      </c>
      <c r="K5" t="s">
        <v>2876</v>
      </c>
      <c r="L5" t="s">
        <v>2877</v>
      </c>
    </row>
    <row r="6" spans="1:12" x14ac:dyDescent="0.25">
      <c r="B6" t="s">
        <v>2878</v>
      </c>
      <c r="C6" t="s">
        <v>2879</v>
      </c>
      <c r="D6" t="s">
        <v>2880</v>
      </c>
      <c r="E6" t="s">
        <v>2881</v>
      </c>
      <c r="F6" t="s">
        <v>2882</v>
      </c>
      <c r="G6" t="s">
        <v>2883</v>
      </c>
      <c r="H6" t="s">
        <v>2884</v>
      </c>
      <c r="J6" t="s">
        <v>2885</v>
      </c>
      <c r="K6" t="s">
        <v>2886</v>
      </c>
      <c r="L6" t="s">
        <v>2887</v>
      </c>
    </row>
    <row r="7" spans="1:12" x14ac:dyDescent="0.25">
      <c r="B7" t="s">
        <v>2888</v>
      </c>
      <c r="C7" t="s">
        <v>2889</v>
      </c>
      <c r="D7" t="s">
        <v>2890</v>
      </c>
      <c r="E7" t="s">
        <v>2891</v>
      </c>
      <c r="F7" t="s">
        <v>2892</v>
      </c>
      <c r="G7" t="s">
        <v>2893</v>
      </c>
      <c r="H7" t="s">
        <v>2894</v>
      </c>
      <c r="J7" t="s">
        <v>2895</v>
      </c>
      <c r="K7" t="s">
        <v>2896</v>
      </c>
      <c r="L7" t="s">
        <v>2897</v>
      </c>
    </row>
    <row r="8" spans="1:12" x14ac:dyDescent="0.25">
      <c r="B8" t="s">
        <v>2898</v>
      </c>
      <c r="C8" t="s">
        <v>2899</v>
      </c>
      <c r="D8" t="s">
        <v>2900</v>
      </c>
      <c r="E8" t="s">
        <v>2901</v>
      </c>
      <c r="F8" t="s">
        <v>2902</v>
      </c>
      <c r="G8" t="s">
        <v>2903</v>
      </c>
      <c r="H8" t="s">
        <v>2904</v>
      </c>
      <c r="J8" t="s">
        <v>2905</v>
      </c>
      <c r="L8" t="s">
        <v>2906</v>
      </c>
    </row>
    <row r="9" spans="1:12" x14ac:dyDescent="0.25">
      <c r="B9" t="s">
        <v>2907</v>
      </c>
      <c r="C9" t="s">
        <v>2908</v>
      </c>
      <c r="D9" t="s">
        <v>2909</v>
      </c>
      <c r="E9" t="s">
        <v>2910</v>
      </c>
      <c r="F9" t="s">
        <v>2911</v>
      </c>
      <c r="G9" t="s">
        <v>2912</v>
      </c>
      <c r="J9" t="s">
        <v>2913</v>
      </c>
      <c r="L9" t="s">
        <v>2914</v>
      </c>
    </row>
    <row r="10" spans="1:12" x14ac:dyDescent="0.25">
      <c r="B10" t="s">
        <v>2915</v>
      </c>
      <c r="C10" t="s">
        <v>2916</v>
      </c>
      <c r="E10" t="s">
        <v>2917</v>
      </c>
      <c r="F10" t="s">
        <v>2918</v>
      </c>
      <c r="G10" t="s">
        <v>2919</v>
      </c>
      <c r="J10" t="s">
        <v>2920</v>
      </c>
      <c r="L10" t="s">
        <v>2921</v>
      </c>
    </row>
    <row r="11" spans="1:12" x14ac:dyDescent="0.25">
      <c r="B11" t="s">
        <v>2922</v>
      </c>
      <c r="C11" t="s">
        <v>2923</v>
      </c>
      <c r="E11" t="s">
        <v>2924</v>
      </c>
      <c r="G11" t="s">
        <v>2925</v>
      </c>
      <c r="J11" t="s">
        <v>2926</v>
      </c>
      <c r="L11" t="s">
        <v>2927</v>
      </c>
    </row>
    <row r="12" spans="1:12" x14ac:dyDescent="0.25">
      <c r="B12" t="s">
        <v>2928</v>
      </c>
      <c r="C12" t="s">
        <v>2929</v>
      </c>
      <c r="E12" t="s">
        <v>2930</v>
      </c>
      <c r="G12" t="s">
        <v>2931</v>
      </c>
      <c r="J12" t="s">
        <v>2932</v>
      </c>
      <c r="L12" t="s">
        <v>2933</v>
      </c>
    </row>
    <row r="13" spans="1:12" x14ac:dyDescent="0.25">
      <c r="B13" t="s">
        <v>2934</v>
      </c>
      <c r="C13" t="s">
        <v>2935</v>
      </c>
      <c r="E13" t="s">
        <v>2936</v>
      </c>
      <c r="J13" t="s">
        <v>2937</v>
      </c>
      <c r="L13" t="s">
        <v>2938</v>
      </c>
    </row>
    <row r="14" spans="1:12" x14ac:dyDescent="0.25">
      <c r="B14" t="s">
        <v>2939</v>
      </c>
      <c r="C14" t="s">
        <v>2940</v>
      </c>
      <c r="E14" t="s">
        <v>2941</v>
      </c>
      <c r="J14" t="s">
        <v>2942</v>
      </c>
      <c r="L14" t="s">
        <v>2943</v>
      </c>
    </row>
    <row r="15" spans="1:12" x14ac:dyDescent="0.25">
      <c r="B15" t="s">
        <v>2944</v>
      </c>
      <c r="C15" t="s">
        <v>2945</v>
      </c>
      <c r="E15" t="s">
        <v>2946</v>
      </c>
      <c r="J15" t="s">
        <v>2947</v>
      </c>
      <c r="L15" t="s">
        <v>2948</v>
      </c>
    </row>
    <row r="16" spans="1:12" x14ac:dyDescent="0.25">
      <c r="B16" t="s">
        <v>2949</v>
      </c>
      <c r="C16" t="s">
        <v>2950</v>
      </c>
      <c r="E16" t="s">
        <v>2951</v>
      </c>
      <c r="J16" t="s">
        <v>2952</v>
      </c>
      <c r="L16" t="s">
        <v>2953</v>
      </c>
    </row>
    <row r="17" spans="2:12" x14ac:dyDescent="0.25">
      <c r="B17" t="s">
        <v>2954</v>
      </c>
      <c r="C17" t="s">
        <v>2955</v>
      </c>
      <c r="E17" t="s">
        <v>2956</v>
      </c>
      <c r="J17" t="s">
        <v>2957</v>
      </c>
      <c r="L17" t="s">
        <v>2958</v>
      </c>
    </row>
    <row r="18" spans="2:12" x14ac:dyDescent="0.25">
      <c r="B18" t="s">
        <v>2959</v>
      </c>
      <c r="C18" t="s">
        <v>2960</v>
      </c>
      <c r="E18" t="s">
        <v>2961</v>
      </c>
      <c r="J18" t="s">
        <v>2962</v>
      </c>
      <c r="L18" t="s">
        <v>2963</v>
      </c>
    </row>
    <row r="19" spans="2:12" x14ac:dyDescent="0.25">
      <c r="B19" t="s">
        <v>2964</v>
      </c>
      <c r="C19" t="s">
        <v>2965</v>
      </c>
      <c r="E19" t="s">
        <v>2966</v>
      </c>
      <c r="J19" t="s">
        <v>2967</v>
      </c>
      <c r="L19" t="s">
        <v>2968</v>
      </c>
    </row>
    <row r="20" spans="2:12" x14ac:dyDescent="0.25">
      <c r="B20" t="s">
        <v>2969</v>
      </c>
      <c r="C20" t="s">
        <v>2970</v>
      </c>
      <c r="E20" t="s">
        <v>2971</v>
      </c>
      <c r="J20" t="s">
        <v>2972</v>
      </c>
      <c r="L20" t="s">
        <v>2973</v>
      </c>
    </row>
    <row r="21" spans="2:12" x14ac:dyDescent="0.25">
      <c r="B21" t="s">
        <v>2974</v>
      </c>
      <c r="C21" t="s">
        <v>2975</v>
      </c>
      <c r="E21" t="s">
        <v>2976</v>
      </c>
      <c r="J21" t="s">
        <v>2977</v>
      </c>
      <c r="L21" t="s">
        <v>2978</v>
      </c>
    </row>
    <row r="22" spans="2:12" x14ac:dyDescent="0.25">
      <c r="B22" t="s">
        <v>2979</v>
      </c>
      <c r="C22" t="s">
        <v>2980</v>
      </c>
      <c r="E22" t="s">
        <v>2981</v>
      </c>
      <c r="J22" t="s">
        <v>2982</v>
      </c>
      <c r="L22" t="s">
        <v>2983</v>
      </c>
    </row>
    <row r="23" spans="2:12" x14ac:dyDescent="0.25">
      <c r="B23" t="s">
        <v>2984</v>
      </c>
      <c r="C23" t="s">
        <v>2985</v>
      </c>
      <c r="E23" t="s">
        <v>2986</v>
      </c>
      <c r="J23" t="s">
        <v>2987</v>
      </c>
      <c r="L23" t="s">
        <v>2988</v>
      </c>
    </row>
    <row r="24" spans="2:12" x14ac:dyDescent="0.25">
      <c r="B24" t="s">
        <v>2989</v>
      </c>
      <c r="E24" t="s">
        <v>2990</v>
      </c>
      <c r="J24" t="s">
        <v>2991</v>
      </c>
      <c r="L24" t="s">
        <v>2992</v>
      </c>
    </row>
    <row r="25" spans="2:12" x14ac:dyDescent="0.25">
      <c r="B25" t="s">
        <v>2993</v>
      </c>
      <c r="E25" t="s">
        <v>2994</v>
      </c>
      <c r="J25" t="s">
        <v>2995</v>
      </c>
      <c r="L25" t="s">
        <v>2996</v>
      </c>
    </row>
    <row r="26" spans="2:12" x14ac:dyDescent="0.25">
      <c r="B26" t="s">
        <v>2997</v>
      </c>
      <c r="E26" t="s">
        <v>2998</v>
      </c>
      <c r="J26" t="s">
        <v>2999</v>
      </c>
      <c r="L26" t="s">
        <v>3000</v>
      </c>
    </row>
    <row r="27" spans="2:12" x14ac:dyDescent="0.25">
      <c r="B27" t="s">
        <v>3001</v>
      </c>
      <c r="E27" t="s">
        <v>3002</v>
      </c>
      <c r="J27" t="s">
        <v>3003</v>
      </c>
      <c r="L27" t="s">
        <v>3004</v>
      </c>
    </row>
    <row r="28" spans="2:12" x14ac:dyDescent="0.25">
      <c r="B28" t="s">
        <v>3005</v>
      </c>
      <c r="E28" t="s">
        <v>3006</v>
      </c>
      <c r="J28" t="s">
        <v>3007</v>
      </c>
      <c r="L28" t="s">
        <v>3008</v>
      </c>
    </row>
    <row r="29" spans="2:12" x14ac:dyDescent="0.25">
      <c r="B29" t="s">
        <v>3009</v>
      </c>
      <c r="E29" t="s">
        <v>3010</v>
      </c>
      <c r="J29" t="s">
        <v>3011</v>
      </c>
      <c r="L29" t="s">
        <v>3012</v>
      </c>
    </row>
    <row r="30" spans="2:12" x14ac:dyDescent="0.25">
      <c r="B30" t="s">
        <v>3013</v>
      </c>
      <c r="E30" t="s">
        <v>3014</v>
      </c>
      <c r="J30" t="s">
        <v>3015</v>
      </c>
    </row>
    <row r="31" spans="2:12" x14ac:dyDescent="0.25">
      <c r="B31" t="s">
        <v>3016</v>
      </c>
      <c r="E31" t="s">
        <v>3017</v>
      </c>
      <c r="J31" t="s">
        <v>3018</v>
      </c>
    </row>
    <row r="32" spans="2:12" x14ac:dyDescent="0.25">
      <c r="B32" t="s">
        <v>3019</v>
      </c>
      <c r="E32" t="s">
        <v>3020</v>
      </c>
      <c r="J32" t="s">
        <v>3021</v>
      </c>
    </row>
    <row r="33" spans="2:10" x14ac:dyDescent="0.25">
      <c r="B33" t="s">
        <v>3022</v>
      </c>
      <c r="E33" t="s">
        <v>3023</v>
      </c>
      <c r="J33" t="s">
        <v>3024</v>
      </c>
    </row>
    <row r="34" spans="2:10" x14ac:dyDescent="0.25">
      <c r="B34" t="s">
        <v>3025</v>
      </c>
      <c r="E34" t="s">
        <v>3026</v>
      </c>
      <c r="J34" t="s">
        <v>3027</v>
      </c>
    </row>
    <row r="35" spans="2:10" x14ac:dyDescent="0.25">
      <c r="B35" t="s">
        <v>3028</v>
      </c>
      <c r="E35" t="s">
        <v>3029</v>
      </c>
      <c r="J35" t="s">
        <v>3030</v>
      </c>
    </row>
    <row r="36" spans="2:10" x14ac:dyDescent="0.25">
      <c r="B36" t="s">
        <v>3031</v>
      </c>
      <c r="E36" t="s">
        <v>3032</v>
      </c>
      <c r="J36" t="s">
        <v>3033</v>
      </c>
    </row>
    <row r="37" spans="2:10" x14ac:dyDescent="0.25">
      <c r="B37" t="s">
        <v>3034</v>
      </c>
      <c r="E37" t="s">
        <v>3035</v>
      </c>
      <c r="J37" t="s">
        <v>3036</v>
      </c>
    </row>
    <row r="38" spans="2:10" x14ac:dyDescent="0.25">
      <c r="B38" t="s">
        <v>3037</v>
      </c>
      <c r="E38" t="s">
        <v>3038</v>
      </c>
      <c r="J38" t="s">
        <v>3039</v>
      </c>
    </row>
    <row r="39" spans="2:10" x14ac:dyDescent="0.25">
      <c r="B39" t="s">
        <v>3040</v>
      </c>
      <c r="E39" t="s">
        <v>3041</v>
      </c>
      <c r="J39" t="s">
        <v>3042</v>
      </c>
    </row>
    <row r="40" spans="2:10" x14ac:dyDescent="0.25">
      <c r="B40" t="s">
        <v>3043</v>
      </c>
      <c r="E40" t="s">
        <v>3044</v>
      </c>
      <c r="J40" t="s">
        <v>3045</v>
      </c>
    </row>
    <row r="41" spans="2:10" x14ac:dyDescent="0.25">
      <c r="B41" t="s">
        <v>3046</v>
      </c>
      <c r="E41" t="s">
        <v>3047</v>
      </c>
      <c r="J41" t="s">
        <v>3048</v>
      </c>
    </row>
    <row r="42" spans="2:10" x14ac:dyDescent="0.25">
      <c r="B42" t="s">
        <v>3049</v>
      </c>
      <c r="E42" t="s">
        <v>3050</v>
      </c>
      <c r="J42" t="s">
        <v>3051</v>
      </c>
    </row>
    <row r="43" spans="2:10" x14ac:dyDescent="0.25">
      <c r="B43" t="s">
        <v>3052</v>
      </c>
      <c r="E43" t="s">
        <v>3053</v>
      </c>
      <c r="J43" t="s">
        <v>3054</v>
      </c>
    </row>
    <row r="44" spans="2:10" x14ac:dyDescent="0.25">
      <c r="B44" t="s">
        <v>3055</v>
      </c>
      <c r="E44" t="s">
        <v>3056</v>
      </c>
      <c r="J44" t="s">
        <v>3057</v>
      </c>
    </row>
    <row r="45" spans="2:10" x14ac:dyDescent="0.25">
      <c r="B45" t="s">
        <v>3058</v>
      </c>
      <c r="E45" t="s">
        <v>3059</v>
      </c>
      <c r="J45" t="s">
        <v>3060</v>
      </c>
    </row>
    <row r="46" spans="2:10" x14ac:dyDescent="0.25">
      <c r="E46" t="s">
        <v>3061</v>
      </c>
      <c r="J46" t="s">
        <v>3062</v>
      </c>
    </row>
    <row r="47" spans="2:10" x14ac:dyDescent="0.25">
      <c r="E47" t="s">
        <v>3063</v>
      </c>
      <c r="J47" t="s">
        <v>3064</v>
      </c>
    </row>
    <row r="48" spans="2:10" x14ac:dyDescent="0.25">
      <c r="E48" t="s">
        <v>3065</v>
      </c>
      <c r="J48" t="s">
        <v>3066</v>
      </c>
    </row>
    <row r="49" spans="5:10" x14ac:dyDescent="0.25">
      <c r="E49" t="s">
        <v>3067</v>
      </c>
      <c r="J49" t="s">
        <v>3068</v>
      </c>
    </row>
    <row r="50" spans="5:10" x14ac:dyDescent="0.25">
      <c r="E50" t="s">
        <v>3069</v>
      </c>
      <c r="J50" t="s">
        <v>3070</v>
      </c>
    </row>
    <row r="51" spans="5:10" x14ac:dyDescent="0.25">
      <c r="E51" t="s">
        <v>3071</v>
      </c>
      <c r="J51" t="s">
        <v>3072</v>
      </c>
    </row>
    <row r="52" spans="5:10" x14ac:dyDescent="0.25">
      <c r="E52" t="s">
        <v>3073</v>
      </c>
      <c r="J52" t="s">
        <v>3074</v>
      </c>
    </row>
    <row r="53" spans="5:10" x14ac:dyDescent="0.25">
      <c r="E53" t="s">
        <v>3075</v>
      </c>
      <c r="J53" t="s">
        <v>3076</v>
      </c>
    </row>
    <row r="54" spans="5:10" x14ac:dyDescent="0.25">
      <c r="E54" t="s">
        <v>3077</v>
      </c>
      <c r="J54" t="s">
        <v>3078</v>
      </c>
    </row>
    <row r="55" spans="5:10" x14ac:dyDescent="0.25">
      <c r="E55" t="s">
        <v>3079</v>
      </c>
      <c r="J55" t="s">
        <v>3080</v>
      </c>
    </row>
    <row r="56" spans="5:10" x14ac:dyDescent="0.25">
      <c r="E56" t="s">
        <v>3081</v>
      </c>
      <c r="J56" t="s">
        <v>3082</v>
      </c>
    </row>
    <row r="57" spans="5:10" x14ac:dyDescent="0.25">
      <c r="E57" t="s">
        <v>3083</v>
      </c>
      <c r="J57" t="s">
        <v>3084</v>
      </c>
    </row>
    <row r="58" spans="5:10" x14ac:dyDescent="0.25">
      <c r="E58" t="s">
        <v>3085</v>
      </c>
      <c r="J58" t="s">
        <v>3086</v>
      </c>
    </row>
    <row r="59" spans="5:10" x14ac:dyDescent="0.25">
      <c r="E59" t="s">
        <v>3087</v>
      </c>
      <c r="J59" t="s">
        <v>3088</v>
      </c>
    </row>
    <row r="60" spans="5:10" x14ac:dyDescent="0.25">
      <c r="E60" t="s">
        <v>3089</v>
      </c>
      <c r="J60" t="s">
        <v>3090</v>
      </c>
    </row>
    <row r="61" spans="5:10" x14ac:dyDescent="0.25">
      <c r="E61" t="s">
        <v>3091</v>
      </c>
      <c r="J61" t="s">
        <v>3092</v>
      </c>
    </row>
    <row r="62" spans="5:10" x14ac:dyDescent="0.25">
      <c r="E62" t="s">
        <v>3093</v>
      </c>
      <c r="J62" t="s">
        <v>3094</v>
      </c>
    </row>
    <row r="63" spans="5:10" x14ac:dyDescent="0.25">
      <c r="E63" t="s">
        <v>3095</v>
      </c>
      <c r="J63" t="s">
        <v>3096</v>
      </c>
    </row>
    <row r="64" spans="5:10" x14ac:dyDescent="0.25">
      <c r="E64" t="s">
        <v>3097</v>
      </c>
      <c r="J64" t="s">
        <v>3098</v>
      </c>
    </row>
    <row r="65" spans="5:10" x14ac:dyDescent="0.25">
      <c r="E65" t="s">
        <v>3099</v>
      </c>
      <c r="J65" t="s">
        <v>3100</v>
      </c>
    </row>
    <row r="66" spans="5:10" x14ac:dyDescent="0.25">
      <c r="E66" t="s">
        <v>3101</v>
      </c>
      <c r="J66" t="s">
        <v>3102</v>
      </c>
    </row>
    <row r="67" spans="5:10" x14ac:dyDescent="0.25">
      <c r="E67" t="s">
        <v>3103</v>
      </c>
      <c r="J67" t="s">
        <v>3104</v>
      </c>
    </row>
    <row r="68" spans="5:10" x14ac:dyDescent="0.25">
      <c r="E68" t="s">
        <v>3105</v>
      </c>
      <c r="J68" t="s">
        <v>3106</v>
      </c>
    </row>
    <row r="69" spans="5:10" x14ac:dyDescent="0.25">
      <c r="E69" t="s">
        <v>3107</v>
      </c>
      <c r="J69" t="s">
        <v>3108</v>
      </c>
    </row>
    <row r="70" spans="5:10" x14ac:dyDescent="0.25">
      <c r="E70" t="s">
        <v>3109</v>
      </c>
      <c r="J70" t="s">
        <v>3110</v>
      </c>
    </row>
    <row r="71" spans="5:10" x14ac:dyDescent="0.25">
      <c r="E71" t="s">
        <v>3111</v>
      </c>
      <c r="J71" t="s">
        <v>3112</v>
      </c>
    </row>
    <row r="72" spans="5:10" x14ac:dyDescent="0.25">
      <c r="E72" t="s">
        <v>3113</v>
      </c>
      <c r="J72" t="s">
        <v>3114</v>
      </c>
    </row>
    <row r="73" spans="5:10" x14ac:dyDescent="0.25">
      <c r="E73" t="s">
        <v>3115</v>
      </c>
      <c r="J73" t="s">
        <v>3116</v>
      </c>
    </row>
    <row r="74" spans="5:10" x14ac:dyDescent="0.25">
      <c r="E74" t="s">
        <v>3117</v>
      </c>
      <c r="J74" t="s">
        <v>3118</v>
      </c>
    </row>
    <row r="75" spans="5:10" x14ac:dyDescent="0.25">
      <c r="E75" t="s">
        <v>3119</v>
      </c>
      <c r="J75" t="s">
        <v>3120</v>
      </c>
    </row>
    <row r="76" spans="5:10" x14ac:dyDescent="0.25">
      <c r="E76" t="s">
        <v>3121</v>
      </c>
      <c r="J76" t="s">
        <v>3122</v>
      </c>
    </row>
    <row r="77" spans="5:10" x14ac:dyDescent="0.25">
      <c r="E77" t="s">
        <v>3123</v>
      </c>
      <c r="J77" t="s">
        <v>3124</v>
      </c>
    </row>
    <row r="78" spans="5:10" x14ac:dyDescent="0.25">
      <c r="E78" t="s">
        <v>3125</v>
      </c>
      <c r="J78" t="s">
        <v>3126</v>
      </c>
    </row>
    <row r="79" spans="5:10" x14ac:dyDescent="0.25">
      <c r="E79" t="s">
        <v>3127</v>
      </c>
      <c r="J79" t="s">
        <v>3128</v>
      </c>
    </row>
    <row r="80" spans="5:10" x14ac:dyDescent="0.25">
      <c r="E80" t="s">
        <v>3129</v>
      </c>
      <c r="J80" t="s">
        <v>3130</v>
      </c>
    </row>
    <row r="81" spans="5:10" x14ac:dyDescent="0.25">
      <c r="E81" t="s">
        <v>3131</v>
      </c>
      <c r="J81" t="s">
        <v>3132</v>
      </c>
    </row>
    <row r="82" spans="5:10" x14ac:dyDescent="0.25">
      <c r="E82" t="s">
        <v>3133</v>
      </c>
      <c r="J82" t="s">
        <v>3134</v>
      </c>
    </row>
    <row r="83" spans="5:10" x14ac:dyDescent="0.25">
      <c r="E83" t="s">
        <v>3135</v>
      </c>
      <c r="J83" t="s">
        <v>3136</v>
      </c>
    </row>
    <row r="84" spans="5:10" x14ac:dyDescent="0.25">
      <c r="E84" t="s">
        <v>3137</v>
      </c>
      <c r="J84" t="s">
        <v>3138</v>
      </c>
    </row>
    <row r="85" spans="5:10" x14ac:dyDescent="0.25">
      <c r="E85" t="s">
        <v>3139</v>
      </c>
      <c r="J85" t="s">
        <v>3140</v>
      </c>
    </row>
    <row r="86" spans="5:10" x14ac:dyDescent="0.25">
      <c r="E86" t="s">
        <v>3141</v>
      </c>
      <c r="J86" t="s">
        <v>3142</v>
      </c>
    </row>
    <row r="87" spans="5:10" x14ac:dyDescent="0.25">
      <c r="E87" t="s">
        <v>3143</v>
      </c>
      <c r="J87" t="s">
        <v>3144</v>
      </c>
    </row>
    <row r="88" spans="5:10" x14ac:dyDescent="0.25">
      <c r="E88" t="s">
        <v>3145</v>
      </c>
      <c r="J88" t="s">
        <v>3146</v>
      </c>
    </row>
    <row r="89" spans="5:10" x14ac:dyDescent="0.25">
      <c r="E89" t="s">
        <v>3147</v>
      </c>
      <c r="J89" t="s">
        <v>3148</v>
      </c>
    </row>
    <row r="90" spans="5:10" x14ac:dyDescent="0.25">
      <c r="E90" t="s">
        <v>3149</v>
      </c>
      <c r="J90" t="s">
        <v>3150</v>
      </c>
    </row>
    <row r="91" spans="5:10" x14ac:dyDescent="0.25">
      <c r="E91" t="s">
        <v>3151</v>
      </c>
      <c r="J91" t="s">
        <v>3152</v>
      </c>
    </row>
    <row r="92" spans="5:10" x14ac:dyDescent="0.25">
      <c r="E92" t="s">
        <v>3153</v>
      </c>
      <c r="J92" t="s">
        <v>3154</v>
      </c>
    </row>
    <row r="93" spans="5:10" x14ac:dyDescent="0.25">
      <c r="E93" t="s">
        <v>3155</v>
      </c>
      <c r="J93" t="s">
        <v>3156</v>
      </c>
    </row>
    <row r="94" spans="5:10" x14ac:dyDescent="0.25">
      <c r="E94" t="s">
        <v>3157</v>
      </c>
      <c r="J94" t="s">
        <v>3158</v>
      </c>
    </row>
    <row r="95" spans="5:10" x14ac:dyDescent="0.25">
      <c r="E95" t="s">
        <v>3159</v>
      </c>
      <c r="J95" t="s">
        <v>3160</v>
      </c>
    </row>
    <row r="96" spans="5:10" x14ac:dyDescent="0.25">
      <c r="E96" t="s">
        <v>3161</v>
      </c>
      <c r="J96" t="s">
        <v>3162</v>
      </c>
    </row>
    <row r="97" spans="5:10" x14ac:dyDescent="0.25">
      <c r="E97" t="s">
        <v>3163</v>
      </c>
      <c r="J97" t="s">
        <v>3164</v>
      </c>
    </row>
    <row r="98" spans="5:10" x14ac:dyDescent="0.25">
      <c r="E98" t="s">
        <v>3165</v>
      </c>
      <c r="J98" t="s">
        <v>3166</v>
      </c>
    </row>
    <row r="99" spans="5:10" x14ac:dyDescent="0.25">
      <c r="E99" t="s">
        <v>3167</v>
      </c>
      <c r="J99" t="s">
        <v>3168</v>
      </c>
    </row>
    <row r="100" spans="5:10" x14ac:dyDescent="0.25">
      <c r="E100" t="s">
        <v>3169</v>
      </c>
      <c r="J100" t="s">
        <v>3170</v>
      </c>
    </row>
    <row r="101" spans="5:10" x14ac:dyDescent="0.25">
      <c r="E101" t="s">
        <v>3171</v>
      </c>
      <c r="J101" t="s">
        <v>3172</v>
      </c>
    </row>
    <row r="102" spans="5:10" x14ac:dyDescent="0.25">
      <c r="E102" t="s">
        <v>3173</v>
      </c>
      <c r="J102" t="s">
        <v>3174</v>
      </c>
    </row>
    <row r="103" spans="5:10" x14ac:dyDescent="0.25">
      <c r="E103" t="s">
        <v>3175</v>
      </c>
      <c r="J103" t="s">
        <v>3176</v>
      </c>
    </row>
    <row r="104" spans="5:10" x14ac:dyDescent="0.25">
      <c r="E104" t="s">
        <v>3177</v>
      </c>
      <c r="J104" t="s">
        <v>3178</v>
      </c>
    </row>
    <row r="105" spans="5:10" x14ac:dyDescent="0.25">
      <c r="E105" t="s">
        <v>3179</v>
      </c>
      <c r="J105" t="s">
        <v>3180</v>
      </c>
    </row>
    <row r="106" spans="5:10" x14ac:dyDescent="0.25">
      <c r="E106" t="s">
        <v>3181</v>
      </c>
      <c r="J106" t="s">
        <v>3182</v>
      </c>
    </row>
    <row r="107" spans="5:10" x14ac:dyDescent="0.25">
      <c r="E107" t="s">
        <v>3183</v>
      </c>
      <c r="J107" t="s">
        <v>3184</v>
      </c>
    </row>
    <row r="108" spans="5:10" x14ac:dyDescent="0.25">
      <c r="E108" t="s">
        <v>3185</v>
      </c>
      <c r="J108" t="s">
        <v>3186</v>
      </c>
    </row>
    <row r="109" spans="5:10" x14ac:dyDescent="0.25">
      <c r="E109" t="s">
        <v>3187</v>
      </c>
      <c r="J109" t="s">
        <v>3188</v>
      </c>
    </row>
    <row r="110" spans="5:10" x14ac:dyDescent="0.25">
      <c r="E110" t="s">
        <v>3189</v>
      </c>
      <c r="J110" t="s">
        <v>3190</v>
      </c>
    </row>
    <row r="111" spans="5:10" x14ac:dyDescent="0.25">
      <c r="E111" t="s">
        <v>3191</v>
      </c>
      <c r="J111" t="s">
        <v>3192</v>
      </c>
    </row>
    <row r="112" spans="5:10" x14ac:dyDescent="0.25">
      <c r="E112" t="s">
        <v>3193</v>
      </c>
      <c r="J112" t="s">
        <v>3194</v>
      </c>
    </row>
    <row r="113" spans="5:10" x14ac:dyDescent="0.25">
      <c r="E113" t="s">
        <v>3195</v>
      </c>
      <c r="J113" t="s">
        <v>3196</v>
      </c>
    </row>
    <row r="114" spans="5:10" x14ac:dyDescent="0.25">
      <c r="E114" t="s">
        <v>3197</v>
      </c>
      <c r="J114" t="s">
        <v>3198</v>
      </c>
    </row>
    <row r="115" spans="5:10" x14ac:dyDescent="0.25">
      <c r="E115" t="s">
        <v>3199</v>
      </c>
      <c r="J115" t="s">
        <v>3200</v>
      </c>
    </row>
    <row r="116" spans="5:10" x14ac:dyDescent="0.25">
      <c r="E116" t="s">
        <v>3201</v>
      </c>
      <c r="J116" t="s">
        <v>3202</v>
      </c>
    </row>
    <row r="117" spans="5:10" x14ac:dyDescent="0.25">
      <c r="E117" t="s">
        <v>3203</v>
      </c>
      <c r="J117" t="s">
        <v>3204</v>
      </c>
    </row>
    <row r="118" spans="5:10" x14ac:dyDescent="0.25">
      <c r="E118" t="s">
        <v>3205</v>
      </c>
      <c r="J118" t="s">
        <v>3206</v>
      </c>
    </row>
    <row r="119" spans="5:10" x14ac:dyDescent="0.25">
      <c r="E119" t="s">
        <v>3207</v>
      </c>
      <c r="J119" t="s">
        <v>3208</v>
      </c>
    </row>
    <row r="120" spans="5:10" x14ac:dyDescent="0.25">
      <c r="E120" t="s">
        <v>3209</v>
      </c>
      <c r="J120" t="s">
        <v>3210</v>
      </c>
    </row>
    <row r="121" spans="5:10" x14ac:dyDescent="0.25">
      <c r="E121" t="s">
        <v>3211</v>
      </c>
      <c r="J121" t="s">
        <v>3212</v>
      </c>
    </row>
    <row r="122" spans="5:10" x14ac:dyDescent="0.25">
      <c r="E122" t="s">
        <v>3213</v>
      </c>
      <c r="J122" t="s">
        <v>3214</v>
      </c>
    </row>
    <row r="123" spans="5:10" x14ac:dyDescent="0.25">
      <c r="E123" t="s">
        <v>3215</v>
      </c>
      <c r="J123" t="s">
        <v>3216</v>
      </c>
    </row>
    <row r="124" spans="5:10" x14ac:dyDescent="0.25">
      <c r="E124" t="s">
        <v>3217</v>
      </c>
      <c r="J124" t="s">
        <v>3218</v>
      </c>
    </row>
    <row r="125" spans="5:10" x14ac:dyDescent="0.25">
      <c r="E125" t="s">
        <v>3219</v>
      </c>
      <c r="J125" t="s">
        <v>3220</v>
      </c>
    </row>
    <row r="126" spans="5:10" x14ac:dyDescent="0.25">
      <c r="E126" t="s">
        <v>3221</v>
      </c>
      <c r="J126" t="s">
        <v>3222</v>
      </c>
    </row>
    <row r="127" spans="5:10" x14ac:dyDescent="0.25">
      <c r="E127" t="s">
        <v>3223</v>
      </c>
      <c r="J127" t="s">
        <v>3224</v>
      </c>
    </row>
    <row r="128" spans="5:10" x14ac:dyDescent="0.25">
      <c r="E128" t="s">
        <v>3225</v>
      </c>
      <c r="J128" t="s">
        <v>3226</v>
      </c>
    </row>
    <row r="129" spans="5:10" x14ac:dyDescent="0.25">
      <c r="E129" t="s">
        <v>3227</v>
      </c>
      <c r="J129" t="s">
        <v>3228</v>
      </c>
    </row>
    <row r="130" spans="5:10" x14ac:dyDescent="0.25">
      <c r="E130" t="s">
        <v>3229</v>
      </c>
      <c r="J130" t="s">
        <v>3230</v>
      </c>
    </row>
    <row r="131" spans="5:10" x14ac:dyDescent="0.25">
      <c r="E131" t="s">
        <v>3231</v>
      </c>
      <c r="J131" t="s">
        <v>3232</v>
      </c>
    </row>
    <row r="132" spans="5:10" x14ac:dyDescent="0.25">
      <c r="E132" t="s">
        <v>3233</v>
      </c>
      <c r="J132" t="s">
        <v>3234</v>
      </c>
    </row>
    <row r="133" spans="5:10" x14ac:dyDescent="0.25">
      <c r="E133" t="s">
        <v>3235</v>
      </c>
      <c r="J133" t="s">
        <v>3236</v>
      </c>
    </row>
    <row r="134" spans="5:10" x14ac:dyDescent="0.25">
      <c r="E134" t="s">
        <v>3237</v>
      </c>
      <c r="J134" t="s">
        <v>3238</v>
      </c>
    </row>
    <row r="135" spans="5:10" x14ac:dyDescent="0.25">
      <c r="E135" t="s">
        <v>3239</v>
      </c>
      <c r="J135" t="s">
        <v>3240</v>
      </c>
    </row>
    <row r="136" spans="5:10" x14ac:dyDescent="0.25">
      <c r="E136" t="s">
        <v>3241</v>
      </c>
      <c r="J136" t="s">
        <v>3242</v>
      </c>
    </row>
    <row r="137" spans="5:10" x14ac:dyDescent="0.25">
      <c r="E137" t="s">
        <v>3243</v>
      </c>
      <c r="J137" t="s">
        <v>3244</v>
      </c>
    </row>
    <row r="138" spans="5:10" x14ac:dyDescent="0.25">
      <c r="E138" t="s">
        <v>3245</v>
      </c>
      <c r="J138" t="s">
        <v>3246</v>
      </c>
    </row>
    <row r="139" spans="5:10" x14ac:dyDescent="0.25">
      <c r="E139" t="s">
        <v>3247</v>
      </c>
      <c r="J139" t="s">
        <v>3248</v>
      </c>
    </row>
    <row r="140" spans="5:10" x14ac:dyDescent="0.25">
      <c r="E140" t="s">
        <v>3249</v>
      </c>
      <c r="J140" t="s">
        <v>3250</v>
      </c>
    </row>
    <row r="141" spans="5:10" x14ac:dyDescent="0.25">
      <c r="E141" t="s">
        <v>3251</v>
      </c>
      <c r="J141" t="s">
        <v>3252</v>
      </c>
    </row>
    <row r="142" spans="5:10" x14ac:dyDescent="0.25">
      <c r="E142" t="s">
        <v>3253</v>
      </c>
      <c r="J142" t="s">
        <v>3254</v>
      </c>
    </row>
    <row r="143" spans="5:10" x14ac:dyDescent="0.25">
      <c r="E143" t="s">
        <v>3255</v>
      </c>
      <c r="J143" t="s">
        <v>3256</v>
      </c>
    </row>
    <row r="144" spans="5:10" x14ac:dyDescent="0.25">
      <c r="E144" t="s">
        <v>3257</v>
      </c>
      <c r="J144" t="s">
        <v>3258</v>
      </c>
    </row>
    <row r="145" spans="5:10" x14ac:dyDescent="0.25">
      <c r="E145" t="s">
        <v>3259</v>
      </c>
      <c r="J145" t="s">
        <v>3260</v>
      </c>
    </row>
    <row r="146" spans="5:10" x14ac:dyDescent="0.25">
      <c r="E146" t="s">
        <v>3261</v>
      </c>
      <c r="J146" t="s">
        <v>3262</v>
      </c>
    </row>
    <row r="147" spans="5:10" x14ac:dyDescent="0.25">
      <c r="E147" t="s">
        <v>3263</v>
      </c>
      <c r="J147" t="s">
        <v>3264</v>
      </c>
    </row>
    <row r="148" spans="5:10" x14ac:dyDescent="0.25">
      <c r="E148" t="s">
        <v>3265</v>
      </c>
      <c r="J148" t="s">
        <v>3266</v>
      </c>
    </row>
    <row r="149" spans="5:10" x14ac:dyDescent="0.25">
      <c r="E149" t="s">
        <v>3267</v>
      </c>
      <c r="J149" t="s">
        <v>3268</v>
      </c>
    </row>
    <row r="150" spans="5:10" x14ac:dyDescent="0.25">
      <c r="E150" t="s">
        <v>3269</v>
      </c>
      <c r="J150" t="s">
        <v>3270</v>
      </c>
    </row>
    <row r="151" spans="5:10" x14ac:dyDescent="0.25">
      <c r="E151" t="s">
        <v>3271</v>
      </c>
      <c r="J151" t="s">
        <v>3272</v>
      </c>
    </row>
    <row r="152" spans="5:10" x14ac:dyDescent="0.25">
      <c r="E152" t="s">
        <v>3273</v>
      </c>
      <c r="J152" t="s">
        <v>3274</v>
      </c>
    </row>
    <row r="153" spans="5:10" x14ac:dyDescent="0.25">
      <c r="E153" t="s">
        <v>3275</v>
      </c>
      <c r="J153" t="s">
        <v>3276</v>
      </c>
    </row>
    <row r="154" spans="5:10" x14ac:dyDescent="0.25">
      <c r="E154" t="s">
        <v>3277</v>
      </c>
      <c r="J154" t="s">
        <v>3278</v>
      </c>
    </row>
    <row r="155" spans="5:10" x14ac:dyDescent="0.25">
      <c r="E155" t="s">
        <v>3279</v>
      </c>
      <c r="J155" t="s">
        <v>3280</v>
      </c>
    </row>
    <row r="156" spans="5:10" x14ac:dyDescent="0.25">
      <c r="E156" t="s">
        <v>3281</v>
      </c>
      <c r="J156" t="s">
        <v>3282</v>
      </c>
    </row>
    <row r="157" spans="5:10" x14ac:dyDescent="0.25">
      <c r="E157" t="s">
        <v>3283</v>
      </c>
      <c r="J157" t="s">
        <v>3284</v>
      </c>
    </row>
    <row r="158" spans="5:10" x14ac:dyDescent="0.25">
      <c r="E158" t="s">
        <v>3285</v>
      </c>
      <c r="J158" t="s">
        <v>3286</v>
      </c>
    </row>
    <row r="159" spans="5:10" x14ac:dyDescent="0.25">
      <c r="E159" t="s">
        <v>3287</v>
      </c>
      <c r="J159" t="s">
        <v>3288</v>
      </c>
    </row>
    <row r="160" spans="5:10" x14ac:dyDescent="0.25">
      <c r="E160" t="s">
        <v>3289</v>
      </c>
      <c r="J160" t="s">
        <v>3290</v>
      </c>
    </row>
    <row r="161" spans="5:10" x14ac:dyDescent="0.25">
      <c r="E161" t="s">
        <v>3291</v>
      </c>
      <c r="J161" t="s">
        <v>3292</v>
      </c>
    </row>
    <row r="162" spans="5:10" x14ac:dyDescent="0.25">
      <c r="E162" t="s">
        <v>3293</v>
      </c>
      <c r="J162" t="s">
        <v>3294</v>
      </c>
    </row>
    <row r="163" spans="5:10" x14ac:dyDescent="0.25">
      <c r="E163" t="s">
        <v>3295</v>
      </c>
      <c r="J163" t="s">
        <v>3296</v>
      </c>
    </row>
    <row r="164" spans="5:10" x14ac:dyDescent="0.25">
      <c r="E164" t="s">
        <v>3297</v>
      </c>
      <c r="J164" t="s">
        <v>3298</v>
      </c>
    </row>
    <row r="165" spans="5:10" x14ac:dyDescent="0.25">
      <c r="E165" t="s">
        <v>3299</v>
      </c>
      <c r="J165" t="s">
        <v>3300</v>
      </c>
    </row>
    <row r="166" spans="5:10" x14ac:dyDescent="0.25">
      <c r="E166" t="s">
        <v>3301</v>
      </c>
      <c r="J166" t="s">
        <v>3302</v>
      </c>
    </row>
    <row r="167" spans="5:10" x14ac:dyDescent="0.25">
      <c r="E167" t="s">
        <v>3303</v>
      </c>
      <c r="J167" t="s">
        <v>3304</v>
      </c>
    </row>
    <row r="168" spans="5:10" x14ac:dyDescent="0.25">
      <c r="E168" t="s">
        <v>3305</v>
      </c>
      <c r="J168" t="s">
        <v>3306</v>
      </c>
    </row>
    <row r="169" spans="5:10" x14ac:dyDescent="0.25">
      <c r="E169" t="s">
        <v>3307</v>
      </c>
      <c r="J169" t="s">
        <v>3308</v>
      </c>
    </row>
    <row r="170" spans="5:10" x14ac:dyDescent="0.25">
      <c r="E170" t="s">
        <v>3309</v>
      </c>
      <c r="J170" t="s">
        <v>3310</v>
      </c>
    </row>
    <row r="171" spans="5:10" x14ac:dyDescent="0.25">
      <c r="E171" t="s">
        <v>3311</v>
      </c>
      <c r="J171" t="s">
        <v>3312</v>
      </c>
    </row>
    <row r="172" spans="5:10" x14ac:dyDescent="0.25">
      <c r="E172" t="s">
        <v>3313</v>
      </c>
      <c r="J172" t="s">
        <v>3314</v>
      </c>
    </row>
    <row r="173" spans="5:10" x14ac:dyDescent="0.25">
      <c r="E173" t="s">
        <v>3315</v>
      </c>
      <c r="J173" t="s">
        <v>3316</v>
      </c>
    </row>
    <row r="174" spans="5:10" x14ac:dyDescent="0.25">
      <c r="E174" t="s">
        <v>3317</v>
      </c>
      <c r="J174" t="s">
        <v>3318</v>
      </c>
    </row>
    <row r="175" spans="5:10" x14ac:dyDescent="0.25">
      <c r="E175" t="s">
        <v>3319</v>
      </c>
      <c r="J175" t="s">
        <v>3320</v>
      </c>
    </row>
    <row r="176" spans="5:10" x14ac:dyDescent="0.25">
      <c r="E176" t="s">
        <v>3321</v>
      </c>
      <c r="J176" t="s">
        <v>3322</v>
      </c>
    </row>
    <row r="177" spans="5:10" x14ac:dyDescent="0.25">
      <c r="E177" t="s">
        <v>3323</v>
      </c>
      <c r="J177" t="s">
        <v>3324</v>
      </c>
    </row>
    <row r="178" spans="5:10" x14ac:dyDescent="0.25">
      <c r="E178" t="s">
        <v>3325</v>
      </c>
      <c r="J178" t="s">
        <v>3326</v>
      </c>
    </row>
    <row r="179" spans="5:10" x14ac:dyDescent="0.25">
      <c r="E179" t="s">
        <v>3327</v>
      </c>
      <c r="J179" t="s">
        <v>3328</v>
      </c>
    </row>
    <row r="180" spans="5:10" x14ac:dyDescent="0.25">
      <c r="J180" t="s">
        <v>3329</v>
      </c>
    </row>
    <row r="181" spans="5:10" x14ac:dyDescent="0.25">
      <c r="J181" t="s">
        <v>3330</v>
      </c>
    </row>
    <row r="182" spans="5:10" x14ac:dyDescent="0.25">
      <c r="J182" t="s">
        <v>3331</v>
      </c>
    </row>
    <row r="183" spans="5:10" x14ac:dyDescent="0.25">
      <c r="J183" t="s">
        <v>3332</v>
      </c>
    </row>
    <row r="184" spans="5:10" x14ac:dyDescent="0.25">
      <c r="J184" t="s">
        <v>3333</v>
      </c>
    </row>
    <row r="185" spans="5:10" x14ac:dyDescent="0.25">
      <c r="J185" t="s">
        <v>3334</v>
      </c>
    </row>
    <row r="186" spans="5:10" x14ac:dyDescent="0.25">
      <c r="J186" t="s">
        <v>3335</v>
      </c>
    </row>
    <row r="187" spans="5:10" x14ac:dyDescent="0.25">
      <c r="J187" t="s">
        <v>3336</v>
      </c>
    </row>
    <row r="188" spans="5:10" x14ac:dyDescent="0.25">
      <c r="J188" t="s">
        <v>3337</v>
      </c>
    </row>
    <row r="189" spans="5:10" x14ac:dyDescent="0.25">
      <c r="J189" t="s">
        <v>3338</v>
      </c>
    </row>
    <row r="190" spans="5:10" x14ac:dyDescent="0.25">
      <c r="J190" t="s">
        <v>3339</v>
      </c>
    </row>
    <row r="191" spans="5:10" x14ac:dyDescent="0.25">
      <c r="J191" t="s">
        <v>3340</v>
      </c>
    </row>
    <row r="192" spans="5:10" x14ac:dyDescent="0.25">
      <c r="J192" t="s">
        <v>3341</v>
      </c>
    </row>
    <row r="193" spans="10:10" x14ac:dyDescent="0.25">
      <c r="J193" t="s">
        <v>3342</v>
      </c>
    </row>
  </sheetData>
  <sheetProtection sheet="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JVLines</vt:lpstr>
      <vt:lpstr>Instructions</vt:lpstr>
      <vt:lpstr>AccountList</vt:lpstr>
      <vt:lpstr>Masters</vt:lpstr>
      <vt:lpstr>AccountCode</vt:lpstr>
      <vt:lpstr>AccountName</vt:lpstr>
      <vt:lpstr>DeptPick</vt:lpstr>
      <vt:lpstr>ITM__NONE</vt:lpstr>
      <vt:lpstr>ITM_G100199</vt:lpstr>
      <vt:lpstr>ITM_G100215</vt:lpstr>
      <vt:lpstr>ITM_G100220</vt:lpstr>
      <vt:lpstr>ITM_G100229</vt:lpstr>
      <vt:lpstr>ITM_G100233</vt:lpstr>
      <vt:lpstr>ITM_G100234</vt:lpstr>
      <vt:lpstr>ITM_G100741</vt:lpstr>
      <vt:lpstr>ITM_G100902</vt:lpstr>
      <vt:lpstr>ITM_G101119</vt:lpstr>
      <vt:lpstr>ITM_G101140</vt:lpstr>
      <vt:lpstr>ITM_G101896</vt:lpstr>
      <vt:lpstr>TypePick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PDG.MP SUJIT</cp:lastModifiedBy>
  <dcterms:created xsi:type="dcterms:W3CDTF">2026-08-18T13:05:51Z</dcterms:created>
  <dcterms:modified xsi:type="dcterms:W3CDTF">2026-08-19T07:27:39Z</dcterms:modified>
</cp:coreProperties>
</file>